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5" rupBuild="18229"/>
  <workbookPr defaultThemeVersion="124226"/>
  <mc:AlternateContent xmlns:mc="http://schemas.openxmlformats.org/markup-compatibility/2006">
    <mc:Choice Requires="x15">
      <x15ac:absPath xmlns:x15ac="http://schemas.microsoft.com/office/spreadsheetml/2010/11/ac" url="C:\Users\shani\Documents\PNI\Shapes Animation\JH_121315\"/>
    </mc:Choice>
  </mc:AlternateContent>
  <bookViews>
    <workbookView xWindow="0" yWindow="0" windowWidth="20520" windowHeight="9465"/>
  </bookViews>
  <sheets>
    <sheet name="Sheet1" sheetId="1" r:id="rId1"/>
    <sheet name="Sheet2" sheetId="2" r:id="rId2"/>
    <sheet name="Sheet3" sheetId="3" r:id="rId3"/>
  </sheets>
  <calcPr calcId="171027" concurrentCalc="0"/>
</workbook>
</file>

<file path=xl/calcChain.xml><?xml version="1.0" encoding="utf-8"?>
<calcChain xmlns="http://schemas.openxmlformats.org/spreadsheetml/2006/main">
  <c r="A5" i="1" l="1"/>
  <c r="A6" i="1"/>
  <c r="A7" i="1"/>
  <c r="A8" i="1"/>
  <c r="A9" i="1"/>
  <c r="A10" i="1"/>
  <c r="A11" i="1"/>
  <c r="A12" i="1"/>
  <c r="A13" i="1"/>
  <c r="A14" i="1"/>
  <c r="A15" i="1"/>
  <c r="A16" i="1"/>
  <c r="A17" i="1"/>
  <c r="A18" i="1"/>
  <c r="A19" i="1"/>
  <c r="A20" i="1"/>
  <c r="A21" i="1"/>
  <c r="A22" i="1"/>
  <c r="A23" i="1"/>
  <c r="A24" i="1"/>
  <c r="A25" i="1"/>
  <c r="D24" i="1"/>
  <c r="D23" i="1"/>
  <c r="D21" i="1"/>
  <c r="D20" i="1"/>
  <c r="D19" i="1"/>
  <c r="D17" i="1"/>
  <c r="D15" i="1"/>
  <c r="D14" i="1"/>
  <c r="D12" i="1"/>
  <c r="D11" i="1"/>
  <c r="D10" i="1"/>
  <c r="D9" i="1"/>
  <c r="E5" i="1"/>
  <c r="D5" i="1"/>
  <c r="E4" i="1"/>
  <c r="D4" i="1"/>
</calcChain>
</file>

<file path=xl/sharedStrings.xml><?xml version="1.0" encoding="utf-8"?>
<sst xmlns="http://schemas.openxmlformats.org/spreadsheetml/2006/main" count="47" uniqueCount="41">
  <si>
    <t>Description</t>
  </si>
  <si>
    <t>Start (s)</t>
  </si>
  <si>
    <t>Start (TR)</t>
  </si>
  <si>
    <t>End (TR)</t>
  </si>
  <si>
    <t>Lobby song</t>
  </si>
  <si>
    <t>Fixation</t>
  </si>
  <si>
    <t>Playing</t>
  </si>
  <si>
    <t>Go home</t>
  </si>
  <si>
    <t>Bedtime</t>
  </si>
  <si>
    <t>First dream</t>
  </si>
  <si>
    <t>Dream ends</t>
  </si>
  <si>
    <t>Day</t>
  </si>
  <si>
    <t>Dream-birds</t>
  </si>
  <si>
    <t>Monster</t>
  </si>
  <si>
    <t>Dream-monster</t>
  </si>
  <si>
    <t>Dream-friend</t>
  </si>
  <si>
    <t>Dream-slingshot</t>
  </si>
  <si>
    <t>Dream-friend missing</t>
  </si>
  <si>
    <t>Wake up</t>
  </si>
  <si>
    <t>Playground</t>
  </si>
  <si>
    <t>Friend</t>
  </si>
  <si>
    <t>Reunited</t>
  </si>
  <si>
    <t>Transcript</t>
  </si>
  <si>
    <t>Start (sec)</t>
  </si>
  <si>
    <t>End (sec)</t>
  </si>
  <si>
    <t>Alright, so it starts off, um, like a really old-fashioned movie promotion to try to get the customers to go out and buy treats. Um, it’s like two candy bars, a soda, and like a thing of popcorn singing an old-fashioned song, a little crackly old-fashioned television way.</t>
  </si>
  <si>
    <t>So first it’s kind of like a, a the bars are creating a rectangle setting, and the triangle, the small triangle, is kind of playing around with this little circle guy. I guess there’s also a little square that I forgot about too. Um, they’re kind of playing around and then I believe, the square comes in and joins and the little square.</t>
  </si>
  <si>
    <t>And then whatever, the way I understood it was the little triangle has a big triangle, um, that’s like his parent or dad or whatever. And the little box is then transformed into the home and basically the kid comes home from playing, and then the big triangle greets the little triangle and the little triangle goes upstairs.</t>
  </si>
  <si>
    <t>And um, dad like tucks him in or whatever, and, says good-night. And the kid goes to bed upstairs in this house that the box had created. Um, and then the dad goes back downstairs and then it goes to bed himself. Um, and then like, they rotate the, um, they rotate themselves so it looks like they’re laying in a bed. That’s why I thought they were laying in a bed.</t>
  </si>
  <si>
    <t>he wakes up.</t>
  </si>
  <si>
    <t>Then he leave his house and he goes to play again.</t>
  </si>
  <si>
    <t>This time the box is, um, create a human figure. And the human is trying to catch the triangle, and let’s see, I think his friend the square and the little circle, but I’m not entirely sure. Um, and the human is not catching them or whatever, and then they are done with that.</t>
  </si>
  <si>
    <t>He goes back.</t>
  </si>
  <si>
    <t>He sleeps again, and has another dream. Uh, there’s the part where he sleeps and there’s another dream. His dad puts him to sleep and there’s another dream.</t>
  </si>
  <si>
    <t>Um, this one was a little tougher, didn’t quite understand it, but he was dreaming.  And comes back out, goes out again, another day. Um. And then the human was trying to catch him again and this time,</t>
  </si>
  <si>
    <t>the human is about to catch him, the little square and the little circle,</t>
  </si>
  <si>
    <t>and then the little circle kind of sacrifices himself and attacks the human figure created by the boxes.</t>
  </si>
  <si>
    <t>And, it seemed like they both kind of, I don’t know, die, or stop, stop moving. Um, they’re kind of just in a big pile. And then the, the triangle kind of searches for the little circle and finds him though it’s kind of lifeless and doesn’t move by itself anymore.</t>
  </si>
  <si>
    <t>So he’s kind of like, rolling it around himself, trying to play like he used to in that, in a, in that rectangle area that’s created again as a setting. And, it’s kind of sad.</t>
  </si>
  <si>
    <t>And then the square comes in and they just kind of like play catch back in forth with the little circle. Um, and there was a piano soundtrack the whole time. And it kind like ended with a, a plus thing fading in. Yeah, I’m done.</t>
  </si>
  <si>
    <t>no, actually no, and then he has like has some dreams in the middle of the night, is what I thought it was because he would never leave his bed, but he just kind of like floats up on the ceiling. And it’s like mountains and birds and um, he’s just kind of like flying along with them.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</si>
</sst>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scheme val="minor"/>
    </font>
    <font>
      <b/>
      <sz val="11"/>
      <color theme="1"/>
      <name val="Calibri"/>
      <family val="2"/>
      <scheme val="minor"/>
    </font>
    <font>
      <b/>
      <sz val="12"/>
      <color theme="1"/>
      <name val="Calibri"/>
      <family val="2"/>
      <scheme val="minor"/>
    </font>
    <font>
      <sz val="12"/>
      <color theme="0" tint="-0.499984740745262"/>
      <name val="Calibri"/>
      <family val="2"/>
      <scheme val="minor"/>
    </font>
    <font>
      <sz val="11"/>
      <color theme="1"/>
      <name val="Calibri"/>
      <family val="2"/>
      <charset val="1"/>
      <scheme val="minor"/>
    </font>
  </fonts>
  <fills count="3">
    <fill>
      <patternFill patternType="none"/>
    </fill>
    <fill>
      <patternFill patternType="gray125"/>
    </fill>
    <fill>
      <patternFill patternType="solid">
        <fgColor theme="0" tint="-0.14999847407452621"/>
        <bgColor indexed="64"/>
      </patternFill>
    </fill>
  </fills>
  <borders count="7">
    <border>
      <left/>
      <right/>
      <top/>
      <bottom/>
      <diagonal/>
    </border>
    <border>
      <left/>
      <right/>
      <top style="thin">
        <color indexed="64"/>
      </top>
      <bottom style="thin">
        <color auto="1"/>
      </bottom>
      <diagonal/>
    </border>
    <border>
      <left style="thin">
        <color auto="1"/>
      </left>
      <right/>
      <top/>
      <bottom style="thin">
        <color auto="1"/>
      </bottom>
      <diagonal/>
    </border>
    <border>
      <left/>
      <right/>
      <top/>
      <bottom style="thin">
        <color auto="1"/>
      </bottom>
      <diagonal/>
    </border>
    <border>
      <left/>
      <right style="thin">
        <color indexed="64"/>
      </right>
      <top style="thin">
        <color indexed="64"/>
      </top>
      <bottom style="thin">
        <color indexed="64"/>
      </bottom>
      <diagonal/>
    </border>
    <border>
      <left style="thin">
        <color auto="1"/>
      </left>
      <right/>
      <top/>
      <bottom/>
      <diagonal/>
    </border>
    <border>
      <left/>
      <right style="thin">
        <color indexed="64"/>
      </right>
      <top/>
      <bottom/>
      <diagonal/>
    </border>
  </borders>
  <cellStyleXfs count="1">
    <xf numFmtId="0" fontId="0" fillId="0" borderId="0"/>
  </cellStyleXfs>
  <cellXfs count="23">
    <xf numFmtId="0" fontId="0" fillId="0" borderId="0" xfId="0"/>
    <xf numFmtId="0" fontId="2" fillId="0" borderId="1" xfId="0" applyFont="1" applyFill="1" applyBorder="1"/>
    <xf numFmtId="0" fontId="2" fillId="0" borderId="2" xfId="0" applyFont="1" applyFill="1" applyBorder="1"/>
    <xf numFmtId="0" fontId="2" fillId="0" borderId="3" xfId="0" applyFont="1" applyFill="1" applyBorder="1"/>
    <xf numFmtId="0" fontId="2" fillId="0" borderId="4" xfId="0" applyFont="1" applyFill="1" applyBorder="1"/>
    <xf numFmtId="0" fontId="3" fillId="0" borderId="0" xfId="0" applyFont="1" applyFill="1" applyBorder="1"/>
    <xf numFmtId="0" fontId="3" fillId="0" borderId="5" xfId="0" applyFont="1" applyFill="1" applyBorder="1"/>
    <xf numFmtId="0" fontId="3" fillId="0" borderId="0" xfId="0" applyFont="1" applyFill="1"/>
    <xf numFmtId="0" fontId="3" fillId="0" borderId="6" xfId="0" applyFont="1" applyFill="1" applyBorder="1"/>
    <xf numFmtId="0" fontId="0" fillId="2" borderId="0" xfId="0" applyFill="1" applyBorder="1"/>
    <xf numFmtId="0" fontId="0" fillId="2" borderId="5" xfId="0" applyFill="1" applyBorder="1"/>
    <xf numFmtId="0" fontId="0" fillId="2" borderId="6" xfId="0" applyFill="1" applyBorder="1"/>
    <xf numFmtId="0" fontId="0" fillId="0" borderId="0" xfId="0" applyFill="1" applyBorder="1"/>
    <xf numFmtId="0" fontId="0" fillId="0" borderId="5" xfId="0" applyFill="1" applyBorder="1"/>
    <xf numFmtId="0" fontId="0" fillId="0" borderId="6" xfId="0" applyFill="1" applyBorder="1"/>
    <xf numFmtId="0" fontId="0" fillId="0" borderId="0" xfId="0" applyNumberFormat="1" applyFill="1"/>
    <xf numFmtId="0" fontId="0" fillId="2" borderId="0" xfId="0" applyNumberFormat="1" applyFill="1" applyBorder="1"/>
    <xf numFmtId="0" fontId="0" fillId="0" borderId="0" xfId="0" applyNumberFormat="1" applyFill="1" applyBorder="1"/>
    <xf numFmtId="0" fontId="0" fillId="0" borderId="0" xfId="0" applyBorder="1"/>
    <xf numFmtId="0" fontId="1" fillId="0" borderId="3" xfId="0" applyFont="1" applyBorder="1"/>
    <xf numFmtId="0" fontId="4" fillId="0" borderId="0" xfId="0" applyFont="1" applyAlignment="1">
      <alignment wrapText="1"/>
    </xf>
    <xf numFmtId="0" fontId="4" fillId="2" borderId="0" xfId="0" applyFont="1" applyFill="1" applyAlignment="1">
      <alignment wrapText="1"/>
    </xf>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8"/>
  <sheetViews>
    <sheetView tabSelected="1" topLeftCell="A7" zoomScale="70" zoomScaleNormal="70" workbookViewId="0">
      <selection activeCell="F19" sqref="F19"/>
    </sheetView>
  </sheetViews>
  <sheetFormatPr defaultRowHeight="14.25" x14ac:dyDescent="0.45"/>
  <cols>
    <col min="1" max="1" width="9.1328125" style="18"/>
    <col min="2" max="2" width="20.1328125" style="10" customWidth="1"/>
    <col min="3" max="3" width="13.3984375" style="9" hidden="1" customWidth="1"/>
    <col min="4" max="4" width="15" style="9" customWidth="1"/>
    <col min="5" max="5" width="15" style="11" customWidth="1"/>
    <col min="6" max="6" width="63.265625" customWidth="1"/>
    <col min="7" max="7" width="20.59765625" customWidth="1"/>
    <col min="8" max="8" width="27.73046875" customWidth="1"/>
  </cols>
  <sheetData>
    <row r="1" spans="1:8" s="19" customFormat="1" ht="15.75" x14ac:dyDescent="0.5">
      <c r="A1" s="1"/>
      <c r="B1" s="2" t="s">
        <v>0</v>
      </c>
      <c r="C1" s="3" t="s">
        <v>1</v>
      </c>
      <c r="D1" s="1" t="s">
        <v>2</v>
      </c>
      <c r="E1" s="4" t="s">
        <v>3</v>
      </c>
      <c r="F1" s="19" t="s">
        <v>22</v>
      </c>
      <c r="G1" s="19" t="s">
        <v>23</v>
      </c>
      <c r="H1" s="19" t="s">
        <v>24</v>
      </c>
    </row>
    <row r="2" spans="1:8" ht="57.4" x14ac:dyDescent="0.5">
      <c r="A2" s="5"/>
      <c r="B2" s="6" t="s">
        <v>4</v>
      </c>
      <c r="C2" s="5"/>
      <c r="D2" s="7">
        <v>0</v>
      </c>
      <c r="E2" s="8">
        <v>24</v>
      </c>
      <c r="F2" s="20" t="s">
        <v>25</v>
      </c>
      <c r="G2">
        <v>55.5</v>
      </c>
      <c r="H2" s="5">
        <v>78.3</v>
      </c>
    </row>
    <row r="3" spans="1:8" ht="15.75" x14ac:dyDescent="0.5">
      <c r="A3" s="5"/>
      <c r="B3" s="6" t="s">
        <v>5</v>
      </c>
      <c r="C3" s="5"/>
      <c r="D3" s="7">
        <v>24</v>
      </c>
      <c r="E3" s="8">
        <v>30</v>
      </c>
    </row>
    <row r="4" spans="1:8" ht="71.25" x14ac:dyDescent="0.45">
      <c r="A4" s="9">
        <v>1</v>
      </c>
      <c r="B4" s="10" t="s">
        <v>6</v>
      </c>
      <c r="C4" s="9">
        <v>44.7</v>
      </c>
      <c r="D4" s="9">
        <f>ROUND(C4/1.5,0)</f>
        <v>30</v>
      </c>
      <c r="E4" s="11">
        <f>D5-1</f>
        <v>41</v>
      </c>
      <c r="F4" s="21" t="s">
        <v>26</v>
      </c>
      <c r="G4" s="22">
        <v>99.8</v>
      </c>
      <c r="H4" s="22">
        <v>121.4</v>
      </c>
    </row>
    <row r="5" spans="1:8" ht="71.25" x14ac:dyDescent="0.45">
      <c r="A5" s="12">
        <f>A4+1</f>
        <v>2</v>
      </c>
      <c r="B5" s="13" t="s">
        <v>7</v>
      </c>
      <c r="C5" s="12">
        <v>62.6</v>
      </c>
      <c r="D5" s="12">
        <f t="shared" ref="D5:D24" si="0">ROUND(C5/1.5,0)</f>
        <v>42</v>
      </c>
      <c r="E5" s="14">
        <f>D6-1</f>
        <v>51</v>
      </c>
      <c r="F5" s="20" t="s">
        <v>27</v>
      </c>
      <c r="G5">
        <v>122.9</v>
      </c>
      <c r="H5">
        <v>146.5</v>
      </c>
    </row>
    <row r="6" spans="1:8" ht="71.25" x14ac:dyDescent="0.45">
      <c r="A6" s="12">
        <f t="shared" ref="A6:A25" si="1">A5+1</f>
        <v>3</v>
      </c>
      <c r="B6" s="10" t="s">
        <v>8</v>
      </c>
      <c r="C6" s="9">
        <v>76.400000000000006</v>
      </c>
      <c r="D6" s="9">
        <v>52</v>
      </c>
      <c r="E6" s="11">
        <v>73</v>
      </c>
      <c r="F6" s="21" t="s">
        <v>28</v>
      </c>
      <c r="G6" s="9">
        <v>146.6</v>
      </c>
      <c r="H6" s="9">
        <v>171.5</v>
      </c>
    </row>
    <row r="7" spans="1:8" ht="57" x14ac:dyDescent="0.45">
      <c r="A7" s="12">
        <f t="shared" si="1"/>
        <v>4</v>
      </c>
      <c r="B7" s="13" t="s">
        <v>9</v>
      </c>
      <c r="C7" s="12">
        <v>110</v>
      </c>
      <c r="D7" s="12">
        <v>74</v>
      </c>
      <c r="E7" s="14">
        <v>97</v>
      </c>
      <c r="F7" s="20" t="s">
        <v>40</v>
      </c>
      <c r="G7" s="12">
        <v>178.2</v>
      </c>
      <c r="H7" s="12">
        <v>192.7</v>
      </c>
    </row>
    <row r="8" spans="1:8" x14ac:dyDescent="0.45">
      <c r="A8" s="12">
        <f t="shared" si="1"/>
        <v>5</v>
      </c>
      <c r="B8" s="10" t="s">
        <v>10</v>
      </c>
      <c r="C8" s="9">
        <v>145.4</v>
      </c>
      <c r="D8" s="9">
        <v>98</v>
      </c>
      <c r="E8" s="11">
        <v>102</v>
      </c>
      <c r="F8" s="21" t="s">
        <v>29</v>
      </c>
      <c r="G8" s="9">
        <v>193.6</v>
      </c>
      <c r="H8" s="9">
        <v>194.4</v>
      </c>
    </row>
    <row r="9" spans="1:8" x14ac:dyDescent="0.45">
      <c r="A9" s="12">
        <f t="shared" si="1"/>
        <v>6</v>
      </c>
      <c r="B9" s="13" t="s">
        <v>11</v>
      </c>
      <c r="C9" s="12">
        <v>154.6</v>
      </c>
      <c r="D9" s="12">
        <f t="shared" si="0"/>
        <v>103</v>
      </c>
      <c r="E9" s="14">
        <v>121</v>
      </c>
      <c r="F9" s="20" t="s">
        <v>30</v>
      </c>
      <c r="G9" s="12">
        <v>195.8</v>
      </c>
      <c r="H9" s="12">
        <v>197.7</v>
      </c>
    </row>
    <row r="10" spans="1:8" x14ac:dyDescent="0.45">
      <c r="A10" s="12">
        <f t="shared" si="1"/>
        <v>7</v>
      </c>
      <c r="B10" s="10" t="s">
        <v>8</v>
      </c>
      <c r="C10" s="9">
        <v>182.7</v>
      </c>
      <c r="D10" s="9">
        <f t="shared" si="0"/>
        <v>122</v>
      </c>
      <c r="E10" s="11">
        <v>132</v>
      </c>
      <c r="F10" s="22"/>
      <c r="G10" s="22"/>
      <c r="H10" s="22"/>
    </row>
    <row r="11" spans="1:8" x14ac:dyDescent="0.45">
      <c r="A11" s="12">
        <f t="shared" si="1"/>
        <v>8</v>
      </c>
      <c r="B11" s="13" t="s">
        <v>12</v>
      </c>
      <c r="C11" s="12">
        <v>199</v>
      </c>
      <c r="D11" s="12">
        <f t="shared" si="0"/>
        <v>133</v>
      </c>
      <c r="E11" s="14">
        <v>142</v>
      </c>
    </row>
    <row r="12" spans="1:8" ht="57" x14ac:dyDescent="0.45">
      <c r="A12" s="12">
        <f t="shared" si="1"/>
        <v>9</v>
      </c>
      <c r="B12" s="10" t="s">
        <v>13</v>
      </c>
      <c r="C12" s="9">
        <v>213.8</v>
      </c>
      <c r="D12" s="9">
        <f t="shared" si="0"/>
        <v>143</v>
      </c>
      <c r="E12" s="11">
        <v>155</v>
      </c>
      <c r="F12" s="21" t="s">
        <v>31</v>
      </c>
      <c r="G12" s="22">
        <v>197.8</v>
      </c>
      <c r="H12" s="9">
        <v>224.3</v>
      </c>
    </row>
    <row r="13" spans="1:8" x14ac:dyDescent="0.45">
      <c r="A13" s="12">
        <f t="shared" si="1"/>
        <v>10</v>
      </c>
      <c r="B13" s="13" t="s">
        <v>10</v>
      </c>
      <c r="C13" s="12">
        <v>232</v>
      </c>
      <c r="D13" s="12">
        <v>156</v>
      </c>
      <c r="E13" s="14">
        <v>161</v>
      </c>
      <c r="F13" s="20" t="s">
        <v>32</v>
      </c>
      <c r="G13" s="12">
        <v>224.4</v>
      </c>
      <c r="H13" s="12">
        <v>224.9</v>
      </c>
    </row>
    <row r="14" spans="1:8" x14ac:dyDescent="0.45">
      <c r="A14" s="12">
        <f t="shared" si="1"/>
        <v>11</v>
      </c>
      <c r="B14" s="10" t="s">
        <v>11</v>
      </c>
      <c r="C14" s="9">
        <v>243</v>
      </c>
      <c r="D14" s="9">
        <f t="shared" si="0"/>
        <v>162</v>
      </c>
      <c r="E14" s="11">
        <v>174</v>
      </c>
      <c r="F14" s="22"/>
      <c r="G14" s="22"/>
      <c r="H14" s="22"/>
    </row>
    <row r="15" spans="1:8" ht="42.75" x14ac:dyDescent="0.45">
      <c r="A15" s="12">
        <f t="shared" si="1"/>
        <v>12</v>
      </c>
      <c r="B15" s="13" t="s">
        <v>8</v>
      </c>
      <c r="C15" s="12">
        <v>263</v>
      </c>
      <c r="D15" s="12">
        <f t="shared" si="0"/>
        <v>175</v>
      </c>
      <c r="E15" s="14">
        <v>188</v>
      </c>
      <c r="F15" s="20" t="s">
        <v>33</v>
      </c>
      <c r="G15">
        <v>225.1</v>
      </c>
      <c r="H15">
        <v>230.3</v>
      </c>
    </row>
    <row r="16" spans="1:8" ht="42.75" x14ac:dyDescent="0.45">
      <c r="A16" s="12">
        <f t="shared" si="1"/>
        <v>13</v>
      </c>
      <c r="B16" s="10" t="s">
        <v>14</v>
      </c>
      <c r="C16" s="9">
        <v>281.2</v>
      </c>
      <c r="D16" s="9">
        <v>189</v>
      </c>
      <c r="E16" s="11">
        <v>201</v>
      </c>
      <c r="F16" s="21" t="s">
        <v>34</v>
      </c>
      <c r="G16" s="9">
        <v>230.8</v>
      </c>
      <c r="H16" s="9">
        <v>242.7</v>
      </c>
    </row>
    <row r="17" spans="1:8" x14ac:dyDescent="0.45">
      <c r="A17" s="12">
        <f t="shared" si="1"/>
        <v>14</v>
      </c>
      <c r="B17" s="13" t="s">
        <v>15</v>
      </c>
      <c r="C17" s="12">
        <v>302.5</v>
      </c>
      <c r="D17" s="12">
        <f t="shared" si="0"/>
        <v>202</v>
      </c>
      <c r="E17" s="14">
        <v>208</v>
      </c>
      <c r="F17" s="20" t="s">
        <v>35</v>
      </c>
      <c r="G17">
        <v>244.4</v>
      </c>
      <c r="H17">
        <v>250.3</v>
      </c>
    </row>
    <row r="18" spans="1:8" ht="28.5" x14ac:dyDescent="0.45">
      <c r="A18" s="12">
        <f t="shared" si="1"/>
        <v>15</v>
      </c>
      <c r="B18" s="10" t="s">
        <v>16</v>
      </c>
      <c r="C18" s="9">
        <v>312</v>
      </c>
      <c r="D18" s="9">
        <v>209</v>
      </c>
      <c r="E18" s="11">
        <v>220</v>
      </c>
      <c r="F18" s="21" t="s">
        <v>36</v>
      </c>
      <c r="G18" s="9">
        <v>250.6</v>
      </c>
      <c r="H18" s="9">
        <v>256.60000000000002</v>
      </c>
    </row>
    <row r="19" spans="1:8" ht="57" x14ac:dyDescent="0.45">
      <c r="A19" s="12">
        <f t="shared" si="1"/>
        <v>16</v>
      </c>
      <c r="B19" s="13" t="s">
        <v>17</v>
      </c>
      <c r="C19" s="12">
        <v>331.7</v>
      </c>
      <c r="D19" s="12">
        <f t="shared" si="0"/>
        <v>221</v>
      </c>
      <c r="E19" s="14">
        <v>241</v>
      </c>
      <c r="F19" s="20" t="s">
        <v>37</v>
      </c>
      <c r="G19">
        <v>257.5</v>
      </c>
      <c r="H19">
        <v>274.89999999999998</v>
      </c>
    </row>
    <row r="20" spans="1:8" x14ac:dyDescent="0.45">
      <c r="A20" s="12">
        <f t="shared" si="1"/>
        <v>17</v>
      </c>
      <c r="B20" s="10" t="s">
        <v>10</v>
      </c>
      <c r="C20" s="9">
        <v>363.7</v>
      </c>
      <c r="D20" s="9">
        <f t="shared" si="0"/>
        <v>242</v>
      </c>
      <c r="E20" s="11">
        <v>250</v>
      </c>
      <c r="F20" s="22"/>
      <c r="G20" s="22"/>
      <c r="H20" s="22"/>
    </row>
    <row r="21" spans="1:8" x14ac:dyDescent="0.45">
      <c r="A21" s="12">
        <f t="shared" si="1"/>
        <v>18</v>
      </c>
      <c r="B21" s="13" t="s">
        <v>18</v>
      </c>
      <c r="C21" s="15">
        <v>376.6</v>
      </c>
      <c r="D21" s="12">
        <f t="shared" si="0"/>
        <v>251</v>
      </c>
      <c r="E21" s="14">
        <v>260</v>
      </c>
    </row>
    <row r="22" spans="1:8" x14ac:dyDescent="0.45">
      <c r="A22" s="12">
        <f t="shared" si="1"/>
        <v>19</v>
      </c>
      <c r="B22" s="10" t="s">
        <v>19</v>
      </c>
      <c r="C22" s="16">
        <v>390</v>
      </c>
      <c r="D22" s="9">
        <v>261</v>
      </c>
      <c r="E22" s="11">
        <v>270</v>
      </c>
      <c r="F22" s="22"/>
      <c r="G22" s="22"/>
      <c r="H22" s="22"/>
    </row>
    <row r="23" spans="1:8" ht="42.75" x14ac:dyDescent="0.45">
      <c r="A23" s="12">
        <f t="shared" si="1"/>
        <v>20</v>
      </c>
      <c r="B23" s="13" t="s">
        <v>6</v>
      </c>
      <c r="C23" s="17">
        <v>406</v>
      </c>
      <c r="D23" s="12">
        <f t="shared" si="0"/>
        <v>271</v>
      </c>
      <c r="E23" s="14">
        <v>280</v>
      </c>
      <c r="F23" s="20" t="s">
        <v>38</v>
      </c>
      <c r="G23">
        <v>275.7</v>
      </c>
      <c r="H23">
        <v>286.60000000000002</v>
      </c>
    </row>
    <row r="24" spans="1:8" ht="42.75" x14ac:dyDescent="0.45">
      <c r="A24" s="12">
        <f t="shared" si="1"/>
        <v>21</v>
      </c>
      <c r="B24" s="10" t="s">
        <v>20</v>
      </c>
      <c r="C24" s="9">
        <v>421</v>
      </c>
      <c r="D24" s="9">
        <f t="shared" si="0"/>
        <v>281</v>
      </c>
      <c r="E24" s="11">
        <v>292</v>
      </c>
      <c r="F24" s="21" t="s">
        <v>39</v>
      </c>
      <c r="G24" s="22">
        <v>287.5</v>
      </c>
      <c r="H24" s="9">
        <v>302.5</v>
      </c>
    </row>
    <row r="25" spans="1:8" x14ac:dyDescent="0.45">
      <c r="A25" s="12">
        <f t="shared" si="1"/>
        <v>22</v>
      </c>
      <c r="B25" s="13" t="s">
        <v>21</v>
      </c>
      <c r="C25" s="12">
        <v>438.5</v>
      </c>
      <c r="D25" s="12">
        <v>293</v>
      </c>
      <c r="E25" s="14">
        <v>300</v>
      </c>
    </row>
    <row r="26" spans="1:8" x14ac:dyDescent="0.45">
      <c r="A26" s="12"/>
      <c r="B26" s="13"/>
      <c r="C26" s="12"/>
      <c r="D26" s="12"/>
      <c r="E26" s="14"/>
    </row>
    <row r="27" spans="1:8" x14ac:dyDescent="0.45">
      <c r="A27" s="12"/>
      <c r="B27" s="13"/>
      <c r="C27" s="12"/>
      <c r="D27" s="12"/>
      <c r="E27" s="14"/>
    </row>
    <row r="28" spans="1:8" x14ac:dyDescent="0.45">
      <c r="A28" s="12"/>
      <c r="B28" s="13"/>
      <c r="C28" s="12"/>
      <c r="D28" s="12"/>
      <c r="E28" s="14"/>
    </row>
    <row r="29" spans="1:8" x14ac:dyDescent="0.45">
      <c r="A29" s="12"/>
      <c r="B29" s="13"/>
      <c r="C29" s="12"/>
      <c r="D29" s="12"/>
      <c r="E29" s="14"/>
    </row>
    <row r="30" spans="1:8" x14ac:dyDescent="0.45">
      <c r="A30" s="12"/>
      <c r="B30" s="13"/>
      <c r="C30" s="12"/>
      <c r="D30" s="12"/>
      <c r="E30" s="14"/>
    </row>
    <row r="31" spans="1:8" x14ac:dyDescent="0.45">
      <c r="A31" s="12"/>
      <c r="B31" s="13"/>
      <c r="C31" s="12"/>
      <c r="D31" s="12"/>
      <c r="E31" s="14"/>
    </row>
    <row r="32" spans="1:8" x14ac:dyDescent="0.45">
      <c r="A32" s="12"/>
      <c r="B32" s="13"/>
      <c r="C32" s="12"/>
      <c r="D32" s="12"/>
      <c r="E32" s="14"/>
    </row>
    <row r="33" spans="1:5" x14ac:dyDescent="0.45">
      <c r="A33" s="12"/>
      <c r="B33" s="13"/>
      <c r="C33" s="12"/>
      <c r="D33" s="12"/>
      <c r="E33" s="14"/>
    </row>
    <row r="34" spans="1:5" x14ac:dyDescent="0.45">
      <c r="A34" s="12"/>
      <c r="B34" s="13"/>
      <c r="C34" s="12"/>
      <c r="D34" s="12"/>
      <c r="E34" s="14"/>
    </row>
    <row r="35" spans="1:5" x14ac:dyDescent="0.45">
      <c r="A35" s="12"/>
      <c r="B35" s="13"/>
      <c r="C35" s="12"/>
      <c r="D35" s="12"/>
      <c r="E35" s="14"/>
    </row>
    <row r="36" spans="1:5" x14ac:dyDescent="0.45">
      <c r="A36" s="12"/>
      <c r="B36" s="13"/>
      <c r="C36" s="12"/>
      <c r="D36" s="12"/>
      <c r="E36" s="14"/>
    </row>
    <row r="37" spans="1:5" x14ac:dyDescent="0.45">
      <c r="A37" s="12"/>
      <c r="B37" s="13"/>
      <c r="C37" s="12"/>
      <c r="D37" s="12"/>
      <c r="E37" s="14"/>
    </row>
    <row r="38" spans="1:5" x14ac:dyDescent="0.45">
      <c r="A38" s="12"/>
      <c r="B38" s="13"/>
      <c r="C38" s="12"/>
      <c r="D38" s="12"/>
      <c r="E38" s="14"/>
    </row>
    <row r="39" spans="1:5" x14ac:dyDescent="0.45">
      <c r="A39" s="12"/>
      <c r="B39" s="13"/>
      <c r="C39" s="12"/>
      <c r="D39" s="12"/>
      <c r="E39" s="14"/>
    </row>
    <row r="40" spans="1:5" x14ac:dyDescent="0.45">
      <c r="A40" s="12"/>
      <c r="B40" s="13"/>
      <c r="C40" s="12"/>
      <c r="D40" s="12"/>
      <c r="E40" s="14"/>
    </row>
    <row r="41" spans="1:5" x14ac:dyDescent="0.45">
      <c r="A41" s="12"/>
      <c r="B41" s="13"/>
      <c r="C41" s="12"/>
      <c r="D41" s="12"/>
      <c r="E41" s="14"/>
    </row>
    <row r="42" spans="1:5" x14ac:dyDescent="0.45">
      <c r="A42" s="12"/>
      <c r="B42" s="13"/>
      <c r="C42" s="12"/>
      <c r="D42" s="12"/>
      <c r="E42" s="14"/>
    </row>
    <row r="43" spans="1:5" x14ac:dyDescent="0.45">
      <c r="A43" s="12"/>
      <c r="B43" s="13"/>
      <c r="C43" s="12"/>
      <c r="D43" s="12"/>
      <c r="E43" s="14"/>
    </row>
    <row r="44" spans="1:5" x14ac:dyDescent="0.45">
      <c r="A44" s="12"/>
      <c r="B44" s="13"/>
      <c r="C44" s="12"/>
      <c r="D44" s="12"/>
      <c r="E44" s="14"/>
    </row>
    <row r="45" spans="1:5" x14ac:dyDescent="0.45">
      <c r="A45" s="12"/>
      <c r="B45" s="13"/>
      <c r="C45" s="12"/>
      <c r="D45" s="12"/>
      <c r="E45" s="14"/>
    </row>
    <row r="46" spans="1:5" x14ac:dyDescent="0.45">
      <c r="A46" s="12"/>
      <c r="B46" s="13"/>
      <c r="C46" s="12"/>
      <c r="D46" s="12"/>
      <c r="E46" s="14"/>
    </row>
    <row r="47" spans="1:5" x14ac:dyDescent="0.45">
      <c r="A47" s="12"/>
      <c r="B47" s="13"/>
      <c r="C47" s="12"/>
      <c r="D47" s="12"/>
      <c r="E47" s="14"/>
    </row>
    <row r="48" spans="1:5" x14ac:dyDescent="0.45">
      <c r="A48" s="12"/>
      <c r="B48" s="13"/>
      <c r="C48" s="12"/>
      <c r="D48" s="12"/>
      <c r="E48" s="14"/>
    </row>
    <row r="49" spans="1:5" x14ac:dyDescent="0.45">
      <c r="A49" s="12"/>
      <c r="B49" s="13"/>
      <c r="C49" s="12"/>
      <c r="D49" s="12"/>
      <c r="E49" s="14"/>
    </row>
    <row r="50" spans="1:5" x14ac:dyDescent="0.45">
      <c r="A50" s="12"/>
      <c r="B50" s="13"/>
      <c r="C50" s="12"/>
      <c r="D50" s="12"/>
      <c r="E50" s="14"/>
    </row>
    <row r="51" spans="1:5" x14ac:dyDescent="0.45">
      <c r="A51" s="12"/>
      <c r="B51" s="13"/>
      <c r="C51" s="12"/>
      <c r="D51" s="12"/>
      <c r="E51" s="14"/>
    </row>
    <row r="52" spans="1:5" x14ac:dyDescent="0.45">
      <c r="A52" s="12"/>
      <c r="B52" s="13"/>
      <c r="C52" s="12"/>
      <c r="D52" s="12"/>
      <c r="E52" s="14"/>
    </row>
    <row r="53" spans="1:5" x14ac:dyDescent="0.45">
      <c r="A53" s="12"/>
      <c r="B53" s="13"/>
      <c r="C53" s="12"/>
      <c r="D53" s="12"/>
      <c r="E53" s="14"/>
    </row>
    <row r="54" spans="1:5" x14ac:dyDescent="0.45">
      <c r="A54" s="12"/>
      <c r="B54" s="13"/>
      <c r="C54" s="12"/>
      <c r="D54" s="12"/>
      <c r="E54" s="14"/>
    </row>
    <row r="55" spans="1:5" x14ac:dyDescent="0.45">
      <c r="A55" s="12"/>
      <c r="B55" s="13"/>
      <c r="C55" s="12"/>
      <c r="D55" s="12"/>
      <c r="E55" s="14"/>
    </row>
    <row r="56" spans="1:5" x14ac:dyDescent="0.45">
      <c r="A56" s="12"/>
      <c r="B56" s="13"/>
      <c r="C56" s="12"/>
      <c r="D56" s="12"/>
      <c r="E56" s="14"/>
    </row>
    <row r="57" spans="1:5" x14ac:dyDescent="0.45">
      <c r="A57" s="12"/>
      <c r="B57" s="13"/>
      <c r="C57" s="12"/>
      <c r="D57" s="12"/>
      <c r="E57" s="14"/>
    </row>
    <row r="58" spans="1:5" x14ac:dyDescent="0.45">
      <c r="A58" s="12"/>
      <c r="B58" s="13"/>
      <c r="C58" s="12"/>
      <c r="D58" s="12"/>
      <c r="E58" s="14"/>
    </row>
    <row r="59" spans="1:5" x14ac:dyDescent="0.45">
      <c r="A59" s="12"/>
      <c r="B59" s="13"/>
      <c r="C59" s="12"/>
      <c r="D59" s="12"/>
      <c r="E59" s="14"/>
    </row>
    <row r="60" spans="1:5" x14ac:dyDescent="0.45">
      <c r="A60" s="12"/>
      <c r="B60" s="13"/>
      <c r="C60" s="12"/>
      <c r="D60" s="12"/>
      <c r="E60" s="14"/>
    </row>
    <row r="61" spans="1:5" x14ac:dyDescent="0.45">
      <c r="A61" s="12"/>
      <c r="B61" s="13"/>
      <c r="C61" s="12"/>
      <c r="D61" s="12"/>
      <c r="E61" s="14"/>
    </row>
    <row r="62" spans="1:5" x14ac:dyDescent="0.45">
      <c r="A62" s="12"/>
      <c r="B62" s="13"/>
      <c r="C62" s="12"/>
      <c r="D62" s="12"/>
      <c r="E62" s="14"/>
    </row>
    <row r="63" spans="1:5" x14ac:dyDescent="0.45">
      <c r="A63" s="12"/>
      <c r="B63" s="13"/>
      <c r="C63" s="12"/>
      <c r="D63" s="12"/>
      <c r="E63" s="14"/>
    </row>
    <row r="64" spans="1:5" x14ac:dyDescent="0.45">
      <c r="A64" s="12"/>
      <c r="B64" s="13"/>
      <c r="C64" s="12"/>
      <c r="D64" s="12"/>
      <c r="E64" s="14"/>
    </row>
    <row r="65" spans="1:5" x14ac:dyDescent="0.45">
      <c r="A65" s="12"/>
      <c r="B65" s="13"/>
      <c r="C65" s="12"/>
      <c r="D65" s="12"/>
      <c r="E65" s="14"/>
    </row>
    <row r="66" spans="1:5" x14ac:dyDescent="0.45">
      <c r="A66" s="12"/>
      <c r="B66" s="13"/>
      <c r="C66" s="12"/>
      <c r="D66" s="12"/>
      <c r="E66" s="14"/>
    </row>
    <row r="67" spans="1:5" x14ac:dyDescent="0.45">
      <c r="A67" s="12"/>
      <c r="B67" s="13"/>
      <c r="C67" s="12"/>
      <c r="D67" s="12"/>
      <c r="E67" s="14"/>
    </row>
    <row r="68" spans="1:5" x14ac:dyDescent="0.45">
      <c r="A68" s="12"/>
      <c r="B68" s="13"/>
      <c r="C68" s="12"/>
      <c r="D68" s="12"/>
      <c r="E68" s="14"/>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25" x14ac:dyDescent="0.4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25" x14ac:dyDescent="0.4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Princeton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Mai L. Nguyen</dc:creator>
  <cp:lastModifiedBy>Shanie Hsieh</cp:lastModifiedBy>
  <dcterms:created xsi:type="dcterms:W3CDTF">2017-07-17T15:31:43Z</dcterms:created>
  <dcterms:modified xsi:type="dcterms:W3CDTF">2017-07-19T14:40:25Z</dcterms:modified>
</cp:coreProperties>
</file>