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ML_1106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<sst xmlns="http://schemas.openxmlformats.org/spreadsheetml/2006/main" count="49" uniqueCount="43">
  <si>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</si>
  <si>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</si>
  <si>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</si>
  <si>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</si>
  <si>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</si>
  <si>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</si>
  <si>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</si>
  <si>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</si>
  <si>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</si>
  <si>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</si>
  <si>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</si>
  <si>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</si>
  <si>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</si>
  <si>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</si>
  <si>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</si>
  <si>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</si>
  <si>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</si>
  <si>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</si>
  <si>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</si>
  <si>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</si>
  <si>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</si>
  <si>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</si>
  <si>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</si>
  <si>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</si>
  <si>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</si>
  <si>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Alright, so the story starts off with the little baby triangle in a fenced-in yard, kind of like a playground, all by himself with a tiny, small circle, which I took to be a ball. He was pushing the ball around, playing with himself, having fun it looks like, doing it aggressively. Um, he keeps the gate open, I assume hoping someone will come and play.</t>
  </si>
  <si>
    <t>Eventually, the momma triangle, a large triangle, comes and takes the baby triangle home. Leaves the ball there. They go to a house. The talk for a little bit, and then go to bed.</t>
  </si>
  <si>
    <t>The baby triangle goes to bed up steps that are invisible to the second floor. The larger momma triangle stays on the first floor. Neither triangles go completely across the straight lines. Um, they both sit, they usually move around with their nose forward. When the go to bed, the nose faces up.</t>
  </si>
  <si>
    <t>Um, and when what I took to be them dreaming, they kind of bounce up and down, and the roof opens up. And the bigger triangle kind of fades off into the wall. The roof opens up and the baby, the smaller triangle, goes up through the roof. Um, in the first dream, there are birds at first, kind of a very non-descriptive, two lines flapping around. And the baby triangle’s just floating around with the birds.</t>
  </si>
  <si>
    <t>Um, the house turns into, um, a figure, kind of like the balloon men you see outside of car dealerships floating around. Um, the stick figure is trying to catch the little triangle, or smack the little triangle, but misses.</t>
  </si>
  <si>
    <t>Um, then the little stick figure turns back into the house with the open roof. The tiny triangle goes back in through the open roof. The roof closes. And, both triangles are sleeping again.</t>
  </si>
  <si>
    <t>The little baby triangle wakes up, goes downstairs. Um, large triangle and small triangle look to be conversing for a second. And then the baby triangle leaves out the bottom of the house. Um, the big triangle again sinks into the wall of the house. The house rotates, I assume to be passing the time. The little triangle comes back. Um, big triangle and little triangle talk for a second.</t>
  </si>
  <si>
    <t>Little triangle goes back upstairs. Big triangle and little triangle both end up going to sleep.</t>
  </si>
  <si>
    <t>The roof opens again in the house, and the little triangle leaves through the roof. This dream is a little bit different. Um, no birds, just the giant, car-dealership stick figure.</t>
  </si>
  <si>
    <t>Um, but this time there’s a tiny square in the dream as well as a tiny circle, which we saw earlier in the film. Um, they’re kind of bopping around,</t>
  </si>
  <si>
    <t>and when it seems like the stick figure has all three shapes cornered, in the lower left corner, um, the little ball shoots out and kind of collapses the stick figure.</t>
  </si>
  <si>
    <t>The square leaves at this part. Um, and the little triangle comes in and is looking through the, like, disheveled lines of the broken stick figure, looking for the little ball that hit the stick figure in the face. Um, I got the sense that the ball had like saved them in the dream and was kind of like a hero, or maybe the square threw the ball. Couldn’t tell if the circle was animated, I don’t think it was. Uh, so little triangle’s looking through these lines for the ball, finds the ball, um, starts to push it, like passing it around a little bit, it’s not really moving.</t>
  </si>
  <si>
    <t>That’s the end of the dream, I guess. And the stick figure turns back into the house with the open roof. The little triangle goes back in through the open roof. The ball and the square aren’t there. Um, the big triangle again on the bottom floor of the house. The roof closes.</t>
  </si>
  <si>
    <t>The little triangle wakes up, goes downstairs, talks to the big triangle, and then leaves again.</t>
  </si>
  <si>
    <t>Um, in the part where before the house spun around, instead it transforms back into the fenced-in yard that we saw earlier, kind of a milk carton shape with an open top left corner, gate. The ball is in here, that we saw earlier. Um, the little triangle comes in, and then closes the gate behind him, something he didn’t do before.</t>
  </si>
  <si>
    <t>And, slowly, he’s moving slowly, starts pushing the ball around, but very slowly, whereas before the ball was kind of bouncing all over the place, a little more enthusiasm. The little triangle seems sad. He’s moving very slowly, as if he has no one to play with.</t>
  </si>
  <si>
    <t>And then, the square, the little square comes back into the picture. At the closed gate, it opens the gate.</t>
  </si>
  <si>
    <t>The triangle kind of does a little bob, seems happy, is moving around quicker. And then the little triangle and the little square have a pass with the little circle that i suppose is a ball.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</si>
</sst>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11" sqref="F11"/>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71.25" x14ac:dyDescent="0.45">
      <c r="A4" s="9">
        <v>1</v>
      </c>
      <c r="B4" s="10" t="s">
        <v>6</v>
      </c>
      <c r="C4" s="9">
        <v>44.7</v>
      </c>
      <c r="D4" s="9">
        <f>ROUND(C4/1.5,0)</f>
        <v>30</v>
      </c>
      <c r="E4" s="11">
        <f>D5-1</f>
        <v>41</v>
      </c>
      <c r="F4" s="21" t="s">
        <v>25</v>
      </c>
      <c r="G4" s="22">
        <v>52.5</v>
      </c>
      <c r="H4" s="22">
        <v>73.5</v>
      </c>
    </row>
    <row r="5" spans="1:8" ht="42.75" x14ac:dyDescent="0.45">
      <c r="A5" s="12">
        <f>A4+1</f>
        <v>2</v>
      </c>
      <c r="B5" s="13" t="s">
        <v>7</v>
      </c>
      <c r="C5" s="12">
        <v>62.6</v>
      </c>
      <c r="D5" s="12">
        <f t="shared" ref="D5:D24" si="0">ROUND(C5/1.5,0)</f>
        <v>42</v>
      </c>
      <c r="E5" s="14">
        <f>D6-1</f>
        <v>51</v>
      </c>
      <c r="F5" s="20" t="s">
        <v>26</v>
      </c>
      <c r="G5">
        <v>74.900000000000006</v>
      </c>
      <c r="H5">
        <v>87.7</v>
      </c>
    </row>
    <row r="6" spans="1:8" ht="57" x14ac:dyDescent="0.45">
      <c r="A6" s="12">
        <f t="shared" ref="A6:A25" si="1">A5+1</f>
        <v>3</v>
      </c>
      <c r="B6" s="10" t="s">
        <v>8</v>
      </c>
      <c r="C6" s="9">
        <v>76.400000000000006</v>
      </c>
      <c r="D6" s="9">
        <v>52</v>
      </c>
      <c r="E6" s="11">
        <v>73</v>
      </c>
      <c r="F6" s="21" t="s">
        <v>27</v>
      </c>
      <c r="G6" s="9">
        <v>88.7</v>
      </c>
      <c r="H6" s="9">
        <v>114.6</v>
      </c>
    </row>
    <row r="7" spans="1:8" ht="85.5" x14ac:dyDescent="0.45">
      <c r="A7" s="12">
        <f t="shared" si="1"/>
        <v>4</v>
      </c>
      <c r="B7" s="13" t="s">
        <v>9</v>
      </c>
      <c r="C7" s="12">
        <v>110</v>
      </c>
      <c r="D7" s="12">
        <v>74</v>
      </c>
      <c r="E7" s="14">
        <v>97</v>
      </c>
      <c r="F7" s="20" t="s">
        <v>28</v>
      </c>
      <c r="G7" s="12">
        <v>116</v>
      </c>
      <c r="H7" s="12">
        <v>145.69999999999999</v>
      </c>
    </row>
    <row r="8" spans="1:8" x14ac:dyDescent="0.45">
      <c r="A8" s="12">
        <f t="shared" si="1"/>
        <v>5</v>
      </c>
      <c r="B8" s="10" t="s">
        <v>10</v>
      </c>
      <c r="C8" s="9">
        <v>145.4</v>
      </c>
      <c r="D8" s="9">
        <v>98</v>
      </c>
      <c r="E8" s="11">
        <v>102</v>
      </c>
      <c r="F8" s="22"/>
      <c r="G8" s="22"/>
      <c r="H8" s="22"/>
    </row>
    <row r="9" spans="1:8" x14ac:dyDescent="0.45">
      <c r="A9" s="12">
        <f t="shared" si="1"/>
        <v>6</v>
      </c>
      <c r="B9" s="13" t="s">
        <v>11</v>
      </c>
      <c r="C9" s="12">
        <v>154.6</v>
      </c>
      <c r="D9" s="12">
        <f t="shared" si="0"/>
        <v>103</v>
      </c>
      <c r="E9" s="14">
        <v>121</v>
      </c>
    </row>
    <row r="10" spans="1:8" x14ac:dyDescent="0.45">
      <c r="A10" s="12">
        <f t="shared" si="1"/>
        <v>7</v>
      </c>
      <c r="B10" s="10" t="s">
        <v>8</v>
      </c>
      <c r="C10" s="9">
        <v>182.7</v>
      </c>
      <c r="D10" s="9">
        <f t="shared" si="0"/>
        <v>122</v>
      </c>
      <c r="E10" s="11">
        <v>132</v>
      </c>
      <c r="F10" s="22"/>
      <c r="G10" s="22"/>
      <c r="H10" s="22"/>
    </row>
    <row r="11" spans="1:8" x14ac:dyDescent="0.45">
      <c r="A11" s="12">
        <f t="shared" si="1"/>
        <v>8</v>
      </c>
      <c r="B11" s="13" t="s">
        <v>12</v>
      </c>
      <c r="C11" s="12">
        <v>199</v>
      </c>
      <c r="D11" s="12">
        <f t="shared" si="0"/>
        <v>133</v>
      </c>
      <c r="E11" s="14">
        <v>142</v>
      </c>
    </row>
    <row r="12" spans="1:8" ht="42.75" x14ac:dyDescent="0.45">
      <c r="A12" s="12">
        <f t="shared" si="1"/>
        <v>9</v>
      </c>
      <c r="B12" s="10" t="s">
        <v>13</v>
      </c>
      <c r="C12" s="9">
        <v>213.8</v>
      </c>
      <c r="D12" s="9">
        <f t="shared" si="0"/>
        <v>143</v>
      </c>
      <c r="E12" s="11">
        <v>155</v>
      </c>
      <c r="F12" s="21" t="s">
        <v>29</v>
      </c>
      <c r="G12" s="22">
        <v>146.6</v>
      </c>
      <c r="H12" s="22">
        <v>171.3</v>
      </c>
    </row>
    <row r="13" spans="1:8" ht="42.75" x14ac:dyDescent="0.45">
      <c r="A13" s="12">
        <f t="shared" si="1"/>
        <v>10</v>
      </c>
      <c r="B13" s="13" t="s">
        <v>10</v>
      </c>
      <c r="C13" s="12">
        <v>232</v>
      </c>
      <c r="D13" s="12">
        <v>156</v>
      </c>
      <c r="E13" s="14">
        <v>161</v>
      </c>
      <c r="F13" s="20" t="s">
        <v>30</v>
      </c>
      <c r="G13" s="12">
        <v>172.2</v>
      </c>
      <c r="H13" s="12">
        <v>184.3</v>
      </c>
    </row>
    <row r="14" spans="1:8" ht="86.65" customHeight="1" x14ac:dyDescent="0.45">
      <c r="A14" s="12">
        <f t="shared" si="1"/>
        <v>11</v>
      </c>
      <c r="B14" s="10" t="s">
        <v>11</v>
      </c>
      <c r="C14" s="9">
        <v>243</v>
      </c>
      <c r="D14" s="9">
        <f t="shared" si="0"/>
        <v>162</v>
      </c>
      <c r="E14" s="11">
        <v>174</v>
      </c>
      <c r="F14" s="21" t="s">
        <v>31</v>
      </c>
      <c r="G14" s="22">
        <v>184.8</v>
      </c>
      <c r="H14" s="9">
        <v>213.4</v>
      </c>
    </row>
    <row r="15" spans="1:8" ht="28.5" x14ac:dyDescent="0.45">
      <c r="A15" s="12">
        <f t="shared" si="1"/>
        <v>12</v>
      </c>
      <c r="B15" s="13" t="s">
        <v>8</v>
      </c>
      <c r="C15" s="12">
        <v>263</v>
      </c>
      <c r="D15" s="12">
        <f t="shared" si="0"/>
        <v>175</v>
      </c>
      <c r="E15" s="14">
        <v>188</v>
      </c>
      <c r="F15" s="20" t="s">
        <v>32</v>
      </c>
      <c r="G15">
        <v>214.1</v>
      </c>
      <c r="H15" s="12">
        <v>219.6</v>
      </c>
    </row>
    <row r="16" spans="1:8" ht="42.75" x14ac:dyDescent="0.45">
      <c r="A16" s="12">
        <f t="shared" si="1"/>
        <v>13</v>
      </c>
      <c r="B16" s="10" t="s">
        <v>14</v>
      </c>
      <c r="C16" s="9">
        <v>281.2</v>
      </c>
      <c r="D16" s="9">
        <v>189</v>
      </c>
      <c r="E16" s="11">
        <v>201</v>
      </c>
      <c r="F16" s="21" t="s">
        <v>33</v>
      </c>
      <c r="G16" s="9">
        <v>221</v>
      </c>
      <c r="H16" s="9">
        <v>233.9</v>
      </c>
    </row>
    <row r="17" spans="1:8" ht="28.5" x14ac:dyDescent="0.45">
      <c r="A17" s="12">
        <f t="shared" si="1"/>
        <v>14</v>
      </c>
      <c r="B17" s="13" t="s">
        <v>15</v>
      </c>
      <c r="C17" s="12">
        <v>302.5</v>
      </c>
      <c r="D17" s="12">
        <f t="shared" si="0"/>
        <v>202</v>
      </c>
      <c r="E17" s="14">
        <v>208</v>
      </c>
      <c r="F17" s="20" t="s">
        <v>34</v>
      </c>
      <c r="G17">
        <v>235.2</v>
      </c>
      <c r="H17" s="12">
        <v>251.5</v>
      </c>
    </row>
    <row r="18" spans="1:8" ht="42.75" x14ac:dyDescent="0.45">
      <c r="A18" s="12">
        <f t="shared" si="1"/>
        <v>15</v>
      </c>
      <c r="B18" s="10" t="s">
        <v>16</v>
      </c>
      <c r="C18" s="9">
        <v>312</v>
      </c>
      <c r="D18" s="9">
        <v>209</v>
      </c>
      <c r="E18" s="11">
        <v>220</v>
      </c>
      <c r="F18" s="21" t="s">
        <v>35</v>
      </c>
      <c r="G18" s="9">
        <v>251.7</v>
      </c>
      <c r="H18" s="9">
        <v>264</v>
      </c>
    </row>
    <row r="19" spans="1:8" ht="114" x14ac:dyDescent="0.45">
      <c r="A19" s="12">
        <f t="shared" si="1"/>
        <v>16</v>
      </c>
      <c r="B19" s="13" t="s">
        <v>17</v>
      </c>
      <c r="C19" s="12">
        <v>331.7</v>
      </c>
      <c r="D19" s="12">
        <f t="shared" si="0"/>
        <v>221</v>
      </c>
      <c r="E19" s="14">
        <v>241</v>
      </c>
      <c r="F19" s="20" t="s">
        <v>36</v>
      </c>
      <c r="G19">
        <v>265.2</v>
      </c>
      <c r="H19" s="12">
        <v>307.7</v>
      </c>
    </row>
    <row r="20" spans="1:8" ht="57" x14ac:dyDescent="0.45">
      <c r="A20" s="12">
        <f t="shared" si="1"/>
        <v>17</v>
      </c>
      <c r="B20" s="10" t="s">
        <v>10</v>
      </c>
      <c r="C20" s="9">
        <v>363.7</v>
      </c>
      <c r="D20" s="9">
        <f t="shared" si="0"/>
        <v>242</v>
      </c>
      <c r="E20" s="11">
        <v>250</v>
      </c>
      <c r="F20" s="21" t="s">
        <v>37</v>
      </c>
      <c r="G20" s="9">
        <v>308.8</v>
      </c>
      <c r="H20" s="9">
        <v>329.5</v>
      </c>
    </row>
    <row r="21" spans="1:8" ht="28.5" x14ac:dyDescent="0.45">
      <c r="A21" s="12">
        <f t="shared" si="1"/>
        <v>18</v>
      </c>
      <c r="B21" s="13" t="s">
        <v>18</v>
      </c>
      <c r="C21" s="15">
        <v>376.6</v>
      </c>
      <c r="D21" s="12">
        <f t="shared" si="0"/>
        <v>251</v>
      </c>
      <c r="E21" s="14">
        <v>260</v>
      </c>
      <c r="F21" s="20" t="s">
        <v>38</v>
      </c>
      <c r="G21">
        <v>330.4</v>
      </c>
      <c r="H21" s="12">
        <v>338</v>
      </c>
    </row>
    <row r="22" spans="1:8" ht="71.25" x14ac:dyDescent="0.45">
      <c r="A22" s="12">
        <f t="shared" si="1"/>
        <v>19</v>
      </c>
      <c r="B22" s="10" t="s">
        <v>19</v>
      </c>
      <c r="C22" s="16">
        <v>390</v>
      </c>
      <c r="D22" s="9">
        <v>261</v>
      </c>
      <c r="E22" s="11">
        <v>270</v>
      </c>
      <c r="F22" s="21" t="s">
        <v>39</v>
      </c>
      <c r="G22" s="9">
        <v>339.3</v>
      </c>
      <c r="H22" s="9">
        <v>367.5</v>
      </c>
    </row>
    <row r="23" spans="1:8" ht="57" x14ac:dyDescent="0.45">
      <c r="A23" s="12">
        <f t="shared" si="1"/>
        <v>20</v>
      </c>
      <c r="B23" s="13" t="s">
        <v>6</v>
      </c>
      <c r="C23" s="17">
        <v>406</v>
      </c>
      <c r="D23" s="12">
        <f t="shared" si="0"/>
        <v>271</v>
      </c>
      <c r="E23" s="14">
        <v>280</v>
      </c>
      <c r="F23" s="20" t="s">
        <v>40</v>
      </c>
      <c r="G23">
        <v>368.6</v>
      </c>
      <c r="H23" s="12">
        <v>386.2</v>
      </c>
    </row>
    <row r="24" spans="1:8" ht="28.5" x14ac:dyDescent="0.45">
      <c r="A24" s="12">
        <f t="shared" si="1"/>
        <v>21</v>
      </c>
      <c r="B24" s="10" t="s">
        <v>20</v>
      </c>
      <c r="C24" s="9">
        <v>421</v>
      </c>
      <c r="D24" s="9">
        <f t="shared" si="0"/>
        <v>281</v>
      </c>
      <c r="E24" s="11">
        <v>292</v>
      </c>
      <c r="F24" s="21" t="s">
        <v>41</v>
      </c>
      <c r="G24" s="9">
        <v>287.39999999999998</v>
      </c>
      <c r="H24" s="9">
        <v>395.1</v>
      </c>
    </row>
    <row r="25" spans="1:8" ht="42.75" x14ac:dyDescent="0.45">
      <c r="A25" s="12">
        <f t="shared" si="1"/>
        <v>22</v>
      </c>
      <c r="B25" s="13" t="s">
        <v>21</v>
      </c>
      <c r="C25" s="12">
        <v>438.5</v>
      </c>
      <c r="D25" s="12">
        <v>293</v>
      </c>
      <c r="E25" s="14">
        <v>300</v>
      </c>
      <c r="F25" s="20" t="s">
        <v>42</v>
      </c>
      <c r="G25" s="12">
        <v>395.9</v>
      </c>
      <c r="H25" s="12">
        <v>410.7</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2017-07-24T13:51:45Z</dcterms:modified>
</cp:coreProperties>
</file>