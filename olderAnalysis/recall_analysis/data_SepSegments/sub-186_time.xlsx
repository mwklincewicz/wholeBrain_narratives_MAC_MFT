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8229"/>
  <workbookPr defaultThemeVersion="124226"/>
  <mc:AlternateContent xmlns:mc="http://schemas.openxmlformats.org/markup-compatibility/2006">
    <mc:Choice Requires="x15">
      <x15ac:absPath xmlns:x15ac="http://schemas.microsoft.com/office/spreadsheetml/2010/11/ac" url="C:\Users\shani\Documents\PNI\Mai - Shapes Animation\Audio\Time Stamps\"/>
    </mc:Choice>
  </mc:AlternateContent>
  <bookViews>
    <workbookView xWindow="0" yWindow="0" windowWidth="20520" windowHeight="9465"/>
  </bookViews>
  <sheets>
    <sheet name="Sheet1" sheetId="1" r:id="rId1"/>
    <sheet name="Sheet2" sheetId="2" r:id="rId2"/>
    <sheet name="Sheet3" sheetId="3" r:id="rId3"/>
  </sheets>
  <calcPr calcId="171027" concurrentCalc="0"/>
</workbook>
</file>

<file path=xl/calcChain.xml><?xml version="1.0" encoding="utf-8"?>
<calcChain xmlns="http://schemas.openxmlformats.org/spreadsheetml/2006/main">
  <c r="A5" i="1" l="1"/>
  <c r="A6" i="1"/>
  <c r="A7" i="1"/>
  <c r="A8" i="1"/>
  <c r="A9" i="1"/>
  <c r="A10" i="1"/>
  <c r="A11" i="1"/>
  <c r="A12" i="1"/>
  <c r="A13" i="1"/>
  <c r="A14" i="1"/>
  <c r="A15" i="1"/>
  <c r="A16" i="1"/>
  <c r="A17" i="1"/>
  <c r="A18" i="1"/>
  <c r="A19" i="1"/>
  <c r="A20" i="1"/>
  <c r="A21" i="1"/>
  <c r="A22" i="1"/>
  <c r="A23" i="1"/>
  <c r="A24" i="1"/>
  <c r="A25" i="1"/>
  <c r="D24" i="1"/>
  <c r="D23" i="1"/>
  <c r="D21" i="1"/>
  <c r="D20" i="1"/>
  <c r="D19" i="1"/>
  <c r="D17" i="1"/>
  <c r="D15" i="1"/>
  <c r="D14" i="1"/>
  <c r="D12" i="1"/>
  <c r="D11" i="1"/>
  <c r="D10" i="1"/>
  <c r="D9" i="1"/>
  <c r="E5" i="1"/>
  <c r="D5" i="1"/>
  <c r="E4" i="1"/>
  <c r="D4" i="1"/>
</calcChain>
</file>

<file path=xl/sharedStrings.xml><?xml version="1.0" encoding="utf-8"?>
<sst xmlns="http://schemas.openxmlformats.org/spreadsheetml/2006/main" count="52" uniqueCount="46">
  <si>
    <t>Description</t>
  </si>
  <si>
    <t>Start (s)</t>
  </si>
  <si>
    <t>Start (TR)</t>
  </si>
  <si>
    <t>End (TR)</t>
  </si>
  <si>
    <t>Lobby song</t>
  </si>
  <si>
    <t>Fixation</t>
  </si>
  <si>
    <t>Playing</t>
  </si>
  <si>
    <t>Go home</t>
  </si>
  <si>
    <t>Bedtime</t>
  </si>
  <si>
    <t>First dream</t>
  </si>
  <si>
    <t>Dream ends</t>
  </si>
  <si>
    <t>Day</t>
  </si>
  <si>
    <t>Dream-birds</t>
  </si>
  <si>
    <t>Monster</t>
  </si>
  <si>
    <t>Dream-monster</t>
  </si>
  <si>
    <t>Dream-friend</t>
  </si>
  <si>
    <t>Dream-slingshot</t>
  </si>
  <si>
    <t>Dream-friend missing</t>
  </si>
  <si>
    <t>Wake up</t>
  </si>
  <si>
    <t>Playground</t>
  </si>
  <si>
    <t>Friend</t>
  </si>
  <si>
    <t>Reunited</t>
  </si>
  <si>
    <t>There was a boy in a park playing with a ball. He kicked it, ran after it, kicked it. He kicked it against the fence for a little bit.</t>
  </si>
  <si>
    <t>Then his father shows up and they head home. No, yes. They have a reasonable sized house. They go home. They talk. The boy heads up. His bedroom is on the second floor. The father goes up the stairs behind the boy.</t>
  </si>
  <si>
    <t>Beforehand he says “good night.” The boy says, “Good night.” The father goes downstairs to the first floor, falls asleep quickly.</t>
  </si>
  <si>
    <t>That night the boy dreams. His ceiling opens up and he’s carried into the sky along with a bird. The boy’s flying over the mountains, he’s flying with the bird. Suddenly the bird breaks into two birds. The boy and the birds are flying. The birds break into four birds. The boys laughs, he’s playing with the birds, he’s having fun, tumbling and turning flying with the birds. But then, the birds turn on him. They start to fight him. And they corner him and prevent his escape. He tries to get away, but he can’t. He tries harder but he still can’t.</t>
  </si>
  <si>
    <t>Then he wakes up and the nightmare is over. He goes back to sleep and he sleeps pretty deeply for the rest of the night.</t>
  </si>
  <si>
    <t>The next morning, the boy wakes up. Actually sorry, the father wakes up, goes to the bottom of the stairs, calls for the boy. The boy wakes up, runs down the stairs, and his father and him exchange words. The boy heads up on the, and his father, yeah, he and his father exchange words.</t>
  </si>
  <si>
    <t xml:space="preserve">The boy goes up stairs, the father goes into his bed on the first floor. The boy falls asleep on the second floor and the father falls asleep on the first floor on his bed.  </t>
  </si>
  <si>
    <t>The boy dreams. He’s back with the birds. This time, the surround him. They are tugging and pulling on him.</t>
  </si>
  <si>
    <t>The nightmare is over, I don’t remember how, but it ended.</t>
  </si>
  <si>
    <t>The next morning the father goes to the bottom of the stairs. He wakes up, goes to the bottom of the stairs, and says hi to his father. And then heads out for the day. Says hello to his father and rushes upstairs on the second floor.</t>
  </si>
  <si>
    <t>Again, the boys, but this time, roll up into, they do something, and then they roll up into a ball. And they, the birds, the birds that turned into a ball now turn into a monster with long arms and two skinny legs. It reaches, um, they get away and hide around.</t>
  </si>
  <si>
    <t>Suddenly, another boy appears. The two boys fly and talk back and forth. The ball appears from the park.</t>
  </si>
  <si>
    <t>They exchange the ball back and forth and then they build a slingshot. And right, it hits the monster and kabloom, the monster goes down into the, pieces.</t>
  </si>
  <si>
    <t>And the boy flies over the pile of the monster’s pieces and the other boy is gone. So the boy searches. He searches in the pile of the monster.</t>
  </si>
  <si>
    <t>And in the morning the father on the first floor wakes up and walks outside and to the park.</t>
  </si>
  <si>
    <t>And he sees his boy still over there at the far end,</t>
  </si>
  <si>
    <t xml:space="preserve">And then his other boy, the other boy, the friend, he appears at the gate at the park. </t>
  </si>
  <si>
    <t xml:space="preserve">and he kicks it back and forth. </t>
  </si>
  <si>
    <t>Very quietly, he sneaks up behind the boy and he taps him and they exchange, talk, and then they play and that’s it.</t>
  </si>
  <si>
    <t>Transcript</t>
  </si>
  <si>
    <t>Start (sec)</t>
  </si>
  <si>
    <t>End (sec)</t>
  </si>
  <si>
    <t>Um, oh sorry, he doesn’t wake up, he goes back to sleep, the nightmare’s over and he goes back to sleep for the rest of the night.</t>
  </si>
  <si>
    <t>*** AUDIO HAS SOME MISSING GAPS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</si>
</sst>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5" x14ac:knownFonts="1">
    <font>
      <sz val="11"/>
      <color theme="1"/>
      <name val="Calibri"/>
      <family val="2"/>
      <scheme val="minor"/>
    </font>
    <font>
      <b/>
      <sz val="11"/>
      <color theme="1"/>
      <name val="Calibri"/>
      <family val="2"/>
      <scheme val="minor"/>
    </font>
    <font>
      <b/>
      <sz val="12"/>
      <color theme="1"/>
      <name val="Calibri"/>
      <family val="2"/>
      <scheme val="minor"/>
    </font>
    <font>
      <sz val="12"/>
      <color theme="0" tint="-0.499984740745262"/>
      <name val="Calibri"/>
      <family val="2"/>
      <scheme val="minor"/>
    </font>
    <font>
      <sz val="11"/>
      <color theme="1"/>
      <name val="Calibri"/>
      <family val="2"/>
      <charset val="1"/>
      <scheme val="minor"/>
    </font>
  </fonts>
  <fills count="3">
    <fill>
      <patternFill patternType="none"/>
    </fill>
    <fill>
      <patternFill patternType="gray125"/>
    </fill>
    <fill>
      <patternFill patternType="solid">
        <fgColor theme="0" tint="-0.14999847407452621"/>
        <bgColor indexed="64"/>
      </patternFill>
    </fill>
  </fills>
  <borders count="7">
    <border>
      <left/>
      <right/>
      <top/>
      <bottom/>
      <diagonal/>
    </border>
    <border>
      <left/>
      <right/>
      <top style="thin">
        <color indexed="64"/>
      </top>
      <bottom style="thin">
        <color auto="1"/>
      </bottom>
      <diagonal/>
    </border>
    <border>
      <left style="thin">
        <color auto="1"/>
      </left>
      <right/>
      <top/>
      <bottom style="thin">
        <color auto="1"/>
      </bottom>
      <diagonal/>
    </border>
    <border>
      <left/>
      <right/>
      <top/>
      <bottom style="thin">
        <color auto="1"/>
      </bottom>
      <diagonal/>
    </border>
    <border>
      <left/>
      <right style="thin">
        <color indexed="64"/>
      </right>
      <top style="thin">
        <color indexed="64"/>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27">
    <xf numFmtId="0" fontId="0" fillId="0" borderId="0" xfId="0"/>
    <xf numFmtId="0" fontId="2" fillId="0" borderId="1" xfId="0" applyFont="1" applyFill="1" applyBorder="1"/>
    <xf numFmtId="0" fontId="2" fillId="0" borderId="2" xfId="0" applyFont="1" applyFill="1" applyBorder="1"/>
    <xf numFmtId="0" fontId="2" fillId="0" borderId="3" xfId="0" applyFont="1" applyFill="1" applyBorder="1"/>
    <xf numFmtId="0" fontId="2" fillId="0" borderId="4" xfId="0" applyFont="1" applyFill="1" applyBorder="1"/>
    <xf numFmtId="0" fontId="3" fillId="0" borderId="0" xfId="0" applyFont="1" applyFill="1" applyBorder="1"/>
    <xf numFmtId="0" fontId="3" fillId="0" borderId="5" xfId="0" applyFont="1" applyFill="1" applyBorder="1"/>
    <xf numFmtId="0" fontId="3" fillId="0" borderId="0" xfId="0" applyFont="1" applyFill="1"/>
    <xf numFmtId="0" fontId="3" fillId="0" borderId="6" xfId="0" applyFont="1" applyFill="1" applyBorder="1"/>
    <xf numFmtId="0" fontId="0" fillId="2" borderId="0" xfId="0" applyFill="1" applyBorder="1"/>
    <xf numFmtId="0" fontId="0" fillId="2" borderId="5" xfId="0" applyFill="1" applyBorder="1"/>
    <xf numFmtId="0" fontId="0" fillId="2" borderId="6" xfId="0" applyFill="1" applyBorder="1"/>
    <xf numFmtId="0" fontId="0" fillId="0" borderId="0" xfId="0" applyFill="1" applyBorder="1"/>
    <xf numFmtId="0" fontId="0" fillId="0" borderId="5" xfId="0" applyFill="1" applyBorder="1"/>
    <xf numFmtId="0" fontId="0" fillId="0" borderId="6" xfId="0" applyFill="1" applyBorder="1"/>
    <xf numFmtId="0" fontId="0" fillId="0" borderId="0" xfId="0" applyNumberFormat="1" applyFill="1"/>
    <xf numFmtId="0" fontId="0" fillId="2" borderId="0" xfId="0" applyNumberFormat="1" applyFill="1" applyBorder="1"/>
    <xf numFmtId="0" fontId="0" fillId="0" borderId="0" xfId="0" applyNumberFormat="1" applyFill="1" applyBorder="1"/>
    <xf numFmtId="0" fontId="0" fillId="0" borderId="0" xfId="0" applyBorder="1"/>
    <xf numFmtId="0" fontId="1" fillId="0" borderId="3" xfId="0" applyFont="1" applyBorder="1"/>
    <xf numFmtId="164" fontId="0" fillId="0" borderId="0" xfId="0" applyNumberFormat="1"/>
    <xf numFmtId="164" fontId="1" fillId="0" borderId="3" xfId="0" applyNumberFormat="1" applyFont="1" applyBorder="1"/>
    <xf numFmtId="164" fontId="0" fillId="2" borderId="0" xfId="0" applyNumberFormat="1" applyFill="1" applyBorder="1"/>
    <xf numFmtId="164" fontId="0" fillId="2" borderId="0" xfId="0" applyNumberFormat="1" applyFill="1"/>
    <xf numFmtId="0" fontId="0" fillId="2" borderId="0" xfId="0" applyFont="1" applyFill="1" applyAlignment="1">
      <alignment wrapText="1"/>
    </xf>
    <xf numFmtId="0" fontId="4" fillId="0" borderId="0" xfId="0" applyFont="1" applyAlignment="1">
      <alignment wrapText="1"/>
    </xf>
    <xf numFmtId="0" fontId="4" fillId="2"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8"/>
  <sheetViews>
    <sheetView tabSelected="1" zoomScaleNormal="100" workbookViewId="0">
      <selection activeCell="F22" activeCellId="1" sqref="F20 F22"/>
    </sheetView>
  </sheetViews>
  <sheetFormatPr defaultRowHeight="14.25" x14ac:dyDescent="0.45"/>
  <cols>
    <col min="1" max="1" width="9.1328125" style="18"/>
    <col min="2" max="2" width="20.1328125" style="10" customWidth="1"/>
    <col min="3" max="3" width="13.3984375" style="9" hidden="1" customWidth="1"/>
    <col min="4" max="4" width="15" style="9" customWidth="1"/>
    <col min="5" max="5" width="15" style="11" customWidth="1"/>
    <col min="6" max="6" width="63.265625" customWidth="1"/>
    <col min="7" max="7" width="20.59765625" style="20" customWidth="1"/>
    <col min="8" max="8" width="27.73046875" style="20" customWidth="1"/>
  </cols>
  <sheetData>
    <row r="1" spans="1:8" s="19" customFormat="1" ht="15.75" x14ac:dyDescent="0.5">
      <c r="A1" s="1"/>
      <c r="B1" s="2" t="s">
        <v>0</v>
      </c>
      <c r="C1" s="3" t="s">
        <v>1</v>
      </c>
      <c r="D1" s="1" t="s">
        <v>2</v>
      </c>
      <c r="E1" s="4" t="s">
        <v>3</v>
      </c>
      <c r="F1" s="19" t="s">
        <v>41</v>
      </c>
      <c r="G1" s="21" t="s">
        <v>42</v>
      </c>
      <c r="H1" s="21" t="s">
        <v>43</v>
      </c>
    </row>
    <row r="2" spans="1:8" ht="15.75" x14ac:dyDescent="0.5">
      <c r="A2" s="5"/>
      <c r="B2" s="6" t="s">
        <v>4</v>
      </c>
      <c r="C2" s="5"/>
      <c r="D2" s="7">
        <v>0</v>
      </c>
      <c r="E2" s="8">
        <v>24</v>
      </c>
    </row>
    <row r="3" spans="1:8" ht="15.75" x14ac:dyDescent="0.5">
      <c r="A3" s="5"/>
      <c r="B3" s="6" t="s">
        <v>5</v>
      </c>
      <c r="C3" s="5"/>
      <c r="D3" s="7">
        <v>24</v>
      </c>
      <c r="E3" s="8">
        <v>30</v>
      </c>
    </row>
    <row r="4" spans="1:8" ht="28.5" x14ac:dyDescent="0.45">
      <c r="A4" s="9">
        <v>1</v>
      </c>
      <c r="B4" s="10" t="s">
        <v>6</v>
      </c>
      <c r="C4" s="9">
        <v>44.7</v>
      </c>
      <c r="D4" s="9">
        <f>ROUND(C4/1.5,0)</f>
        <v>30</v>
      </c>
      <c r="E4" s="11">
        <f>D5-1</f>
        <v>41</v>
      </c>
      <c r="F4" s="26" t="s">
        <v>22</v>
      </c>
      <c r="G4" s="23">
        <v>46.2</v>
      </c>
      <c r="H4" s="23">
        <v>58.5</v>
      </c>
    </row>
    <row r="5" spans="1:8" ht="42.75" x14ac:dyDescent="0.45">
      <c r="A5" s="12">
        <f>A4+1</f>
        <v>2</v>
      </c>
      <c r="B5" s="13" t="s">
        <v>7</v>
      </c>
      <c r="C5" s="12">
        <v>62.6</v>
      </c>
      <c r="D5" s="12">
        <f t="shared" ref="D5:D24" si="0">ROUND(C5/1.5,0)</f>
        <v>42</v>
      </c>
      <c r="E5" s="14">
        <f>D6-1</f>
        <v>51</v>
      </c>
      <c r="F5" s="25" t="s">
        <v>23</v>
      </c>
      <c r="G5" s="20">
        <v>60.3</v>
      </c>
      <c r="H5" s="20">
        <v>81.099999999999994</v>
      </c>
    </row>
    <row r="6" spans="1:8" ht="28.5" x14ac:dyDescent="0.45">
      <c r="A6" s="12">
        <f t="shared" ref="A6:A25" si="1">A5+1</f>
        <v>3</v>
      </c>
      <c r="B6" s="10" t="s">
        <v>8</v>
      </c>
      <c r="C6" s="9">
        <v>76.400000000000006</v>
      </c>
      <c r="D6" s="9">
        <v>52</v>
      </c>
      <c r="E6" s="11">
        <v>73</v>
      </c>
      <c r="F6" s="26" t="s">
        <v>24</v>
      </c>
      <c r="G6" s="22">
        <v>81.2</v>
      </c>
      <c r="H6" s="23">
        <v>90.3</v>
      </c>
    </row>
    <row r="7" spans="1:8" ht="115.5" customHeight="1" x14ac:dyDescent="0.45">
      <c r="A7" s="12">
        <f t="shared" si="1"/>
        <v>4</v>
      </c>
      <c r="B7" s="13" t="s">
        <v>9</v>
      </c>
      <c r="C7" s="12">
        <v>110</v>
      </c>
      <c r="D7" s="12">
        <v>74</v>
      </c>
      <c r="E7" s="14">
        <v>97</v>
      </c>
      <c r="F7" s="25" t="s">
        <v>25</v>
      </c>
      <c r="G7" s="20">
        <v>92.2</v>
      </c>
      <c r="H7" s="20">
        <v>138.5</v>
      </c>
    </row>
    <row r="8" spans="1:8" ht="28.5" x14ac:dyDescent="0.45">
      <c r="A8" s="12">
        <f t="shared" si="1"/>
        <v>5</v>
      </c>
      <c r="B8" s="10" t="s">
        <v>10</v>
      </c>
      <c r="C8" s="9">
        <v>145.4</v>
      </c>
      <c r="D8" s="9">
        <v>98</v>
      </c>
      <c r="E8" s="11">
        <v>102</v>
      </c>
      <c r="F8" s="26" t="s">
        <v>26</v>
      </c>
      <c r="G8" s="23">
        <v>140.1</v>
      </c>
      <c r="H8" s="23">
        <v>148.1</v>
      </c>
    </row>
    <row r="9" spans="1:8" ht="57" x14ac:dyDescent="0.45">
      <c r="A9" s="12">
        <f t="shared" si="1"/>
        <v>6</v>
      </c>
      <c r="B9" s="13" t="s">
        <v>11</v>
      </c>
      <c r="C9" s="12">
        <v>154.6</v>
      </c>
      <c r="D9" s="12">
        <f t="shared" si="0"/>
        <v>103</v>
      </c>
      <c r="E9" s="14">
        <v>121</v>
      </c>
      <c r="F9" s="25" t="s">
        <v>27</v>
      </c>
      <c r="G9" s="20">
        <v>150.9</v>
      </c>
      <c r="H9" s="20">
        <v>179</v>
      </c>
    </row>
    <row r="10" spans="1:8" ht="42.75" x14ac:dyDescent="0.45">
      <c r="A10" s="12">
        <f t="shared" si="1"/>
        <v>7</v>
      </c>
      <c r="B10" s="10" t="s">
        <v>8</v>
      </c>
      <c r="C10" s="9">
        <v>182.7</v>
      </c>
      <c r="D10" s="9">
        <f t="shared" si="0"/>
        <v>122</v>
      </c>
      <c r="E10" s="11">
        <v>132</v>
      </c>
      <c r="F10" s="26" t="s">
        <v>28</v>
      </c>
      <c r="G10" s="23">
        <v>180.1</v>
      </c>
      <c r="H10" s="23">
        <v>191.3</v>
      </c>
    </row>
    <row r="11" spans="1:8" ht="28.5" x14ac:dyDescent="0.45">
      <c r="A11" s="12">
        <f t="shared" si="1"/>
        <v>8</v>
      </c>
      <c r="B11" s="13" t="s">
        <v>12</v>
      </c>
      <c r="C11" s="12">
        <v>199</v>
      </c>
      <c r="D11" s="12">
        <f t="shared" si="0"/>
        <v>133</v>
      </c>
      <c r="E11" s="14">
        <v>142</v>
      </c>
      <c r="F11" s="25" t="s">
        <v>29</v>
      </c>
      <c r="G11" s="20">
        <v>192.8</v>
      </c>
      <c r="H11" s="20">
        <v>201.3</v>
      </c>
    </row>
    <row r="12" spans="1:8" x14ac:dyDescent="0.45">
      <c r="A12" s="12">
        <f t="shared" si="1"/>
        <v>9</v>
      </c>
      <c r="B12" s="10" t="s">
        <v>13</v>
      </c>
      <c r="C12" s="9">
        <v>213.8</v>
      </c>
      <c r="D12" s="9">
        <f t="shared" si="0"/>
        <v>143</v>
      </c>
      <c r="E12" s="11">
        <v>155</v>
      </c>
      <c r="F12" s="24"/>
      <c r="G12" s="23"/>
      <c r="H12" s="23"/>
    </row>
    <row r="13" spans="1:8" x14ac:dyDescent="0.45">
      <c r="A13" s="12">
        <f t="shared" si="1"/>
        <v>10</v>
      </c>
      <c r="B13" s="13" t="s">
        <v>10</v>
      </c>
      <c r="C13" s="12">
        <v>232</v>
      </c>
      <c r="D13" s="12">
        <v>156</v>
      </c>
      <c r="E13" s="14">
        <v>161</v>
      </c>
      <c r="F13" s="25" t="s">
        <v>30</v>
      </c>
      <c r="G13" s="20">
        <v>203.6</v>
      </c>
      <c r="H13" s="20">
        <v>207.3</v>
      </c>
    </row>
    <row r="14" spans="1:8" ht="42.75" x14ac:dyDescent="0.45">
      <c r="A14" s="12">
        <f t="shared" si="1"/>
        <v>11</v>
      </c>
      <c r="B14" s="10" t="s">
        <v>11</v>
      </c>
      <c r="C14" s="9">
        <v>243</v>
      </c>
      <c r="D14" s="9">
        <f t="shared" si="0"/>
        <v>162</v>
      </c>
      <c r="E14" s="11">
        <v>174</v>
      </c>
      <c r="F14" s="26" t="s">
        <v>31</v>
      </c>
      <c r="G14" s="23">
        <v>207.9</v>
      </c>
      <c r="H14" s="23">
        <v>223</v>
      </c>
    </row>
    <row r="15" spans="1:8" x14ac:dyDescent="0.45">
      <c r="A15" s="12">
        <f t="shared" si="1"/>
        <v>12</v>
      </c>
      <c r="B15" s="13" t="s">
        <v>8</v>
      </c>
      <c r="C15" s="12">
        <v>263</v>
      </c>
      <c r="D15" s="12">
        <f t="shared" si="0"/>
        <v>175</v>
      </c>
      <c r="E15" s="14">
        <v>188</v>
      </c>
    </row>
    <row r="16" spans="1:8" ht="57" x14ac:dyDescent="0.45">
      <c r="A16" s="12">
        <f t="shared" si="1"/>
        <v>13</v>
      </c>
      <c r="B16" s="10" t="s">
        <v>14</v>
      </c>
      <c r="C16" s="9">
        <v>281.2</v>
      </c>
      <c r="D16" s="9">
        <v>189</v>
      </c>
      <c r="E16" s="11">
        <v>201</v>
      </c>
      <c r="F16" s="26" t="s">
        <v>32</v>
      </c>
      <c r="G16" s="23">
        <v>225.3</v>
      </c>
      <c r="H16" s="23">
        <v>252.3</v>
      </c>
    </row>
    <row r="17" spans="1:8" ht="28.5" x14ac:dyDescent="0.45">
      <c r="A17" s="12">
        <f t="shared" si="1"/>
        <v>14</v>
      </c>
      <c r="B17" s="13" t="s">
        <v>15</v>
      </c>
      <c r="C17" s="12">
        <v>302.5</v>
      </c>
      <c r="D17" s="12">
        <f t="shared" si="0"/>
        <v>202</v>
      </c>
      <c r="E17" s="14">
        <v>208</v>
      </c>
      <c r="F17" s="25" t="s">
        <v>33</v>
      </c>
      <c r="G17" s="20">
        <v>252.9</v>
      </c>
      <c r="H17" s="20">
        <v>263.39999999999998</v>
      </c>
    </row>
    <row r="18" spans="1:8" ht="42.75" x14ac:dyDescent="0.45">
      <c r="A18" s="12">
        <f t="shared" si="1"/>
        <v>15</v>
      </c>
      <c r="B18" s="10" t="s">
        <v>16</v>
      </c>
      <c r="C18" s="9">
        <v>312</v>
      </c>
      <c r="D18" s="9">
        <v>209</v>
      </c>
      <c r="E18" s="11">
        <v>220</v>
      </c>
      <c r="F18" s="26" t="s">
        <v>34</v>
      </c>
      <c r="G18" s="23">
        <v>264.8</v>
      </c>
      <c r="H18" s="23">
        <v>279.89999999999998</v>
      </c>
    </row>
    <row r="19" spans="1:8" ht="28.5" x14ac:dyDescent="0.45">
      <c r="A19" s="12">
        <f t="shared" si="1"/>
        <v>16</v>
      </c>
      <c r="B19" s="13" t="s">
        <v>17</v>
      </c>
      <c r="C19" s="12">
        <v>331.7</v>
      </c>
      <c r="D19" s="12">
        <f t="shared" si="0"/>
        <v>221</v>
      </c>
      <c r="E19" s="14">
        <v>241</v>
      </c>
      <c r="F19" s="25" t="s">
        <v>35</v>
      </c>
      <c r="G19" s="20">
        <v>281.60000000000002</v>
      </c>
      <c r="H19" s="20">
        <v>294.7</v>
      </c>
    </row>
    <row r="20" spans="1:8" ht="28.5" x14ac:dyDescent="0.45">
      <c r="A20" s="12">
        <f t="shared" si="1"/>
        <v>17</v>
      </c>
      <c r="B20" s="10" t="s">
        <v>10</v>
      </c>
      <c r="C20" s="9">
        <v>363.7</v>
      </c>
      <c r="D20" s="9">
        <f t="shared" si="0"/>
        <v>242</v>
      </c>
      <c r="E20" s="11">
        <v>250</v>
      </c>
      <c r="F20" s="26" t="s">
        <v>44</v>
      </c>
      <c r="G20" s="23">
        <v>297.3</v>
      </c>
      <c r="H20" s="23">
        <v>304.8</v>
      </c>
    </row>
    <row r="21" spans="1:8" ht="28.5" x14ac:dyDescent="0.45">
      <c r="A21" s="12">
        <f t="shared" si="1"/>
        <v>18</v>
      </c>
      <c r="B21" s="13" t="s">
        <v>18</v>
      </c>
      <c r="C21" s="15">
        <v>376.6</v>
      </c>
      <c r="D21" s="12">
        <f t="shared" si="0"/>
        <v>251</v>
      </c>
      <c r="E21" s="14">
        <v>260</v>
      </c>
      <c r="F21" s="25" t="s">
        <v>36</v>
      </c>
      <c r="G21" s="20">
        <v>306.39999999999998</v>
      </c>
      <c r="H21" s="20">
        <v>319.10000000000002</v>
      </c>
    </row>
    <row r="22" spans="1:8" x14ac:dyDescent="0.45">
      <c r="A22" s="12">
        <f t="shared" si="1"/>
        <v>19</v>
      </c>
      <c r="B22" s="10" t="s">
        <v>19</v>
      </c>
      <c r="C22" s="16">
        <v>390</v>
      </c>
      <c r="D22" s="9">
        <v>261</v>
      </c>
      <c r="E22" s="11">
        <v>270</v>
      </c>
      <c r="F22" s="26" t="s">
        <v>37</v>
      </c>
      <c r="G22" s="23">
        <v>319.8</v>
      </c>
      <c r="H22" s="23">
        <v>322.2</v>
      </c>
    </row>
    <row r="23" spans="1:8" x14ac:dyDescent="0.45">
      <c r="A23" s="12">
        <f t="shared" si="1"/>
        <v>20</v>
      </c>
      <c r="B23" s="13" t="s">
        <v>6</v>
      </c>
      <c r="C23" s="17">
        <v>406</v>
      </c>
      <c r="D23" s="12">
        <f t="shared" si="0"/>
        <v>271</v>
      </c>
      <c r="E23" s="14">
        <v>280</v>
      </c>
      <c r="F23" s="25" t="s">
        <v>39</v>
      </c>
      <c r="G23" s="20">
        <v>323</v>
      </c>
      <c r="H23" s="20">
        <v>324.39999999999998</v>
      </c>
    </row>
    <row r="24" spans="1:8" ht="28.5" x14ac:dyDescent="0.45">
      <c r="A24" s="12">
        <f t="shared" si="1"/>
        <v>21</v>
      </c>
      <c r="B24" s="10" t="s">
        <v>20</v>
      </c>
      <c r="C24" s="9">
        <v>421</v>
      </c>
      <c r="D24" s="9">
        <f t="shared" si="0"/>
        <v>281</v>
      </c>
      <c r="E24" s="11">
        <v>292</v>
      </c>
      <c r="F24" s="24" t="s">
        <v>38</v>
      </c>
      <c r="G24" s="23">
        <v>325.5</v>
      </c>
      <c r="H24" s="23">
        <v>332</v>
      </c>
    </row>
    <row r="25" spans="1:8" ht="28.5" x14ac:dyDescent="0.45">
      <c r="A25" s="12">
        <f t="shared" si="1"/>
        <v>22</v>
      </c>
      <c r="B25" s="13" t="s">
        <v>21</v>
      </c>
      <c r="C25" s="12">
        <v>438.5</v>
      </c>
      <c r="D25" s="12">
        <v>293</v>
      </c>
      <c r="E25" s="14">
        <v>300</v>
      </c>
      <c r="F25" s="25" t="s">
        <v>40</v>
      </c>
      <c r="G25" s="20">
        <v>332.5</v>
      </c>
      <c r="H25" s="20">
        <v>347.4</v>
      </c>
    </row>
    <row r="26" spans="1:8" x14ac:dyDescent="0.45">
      <c r="A26" s="12"/>
      <c r="B26" s="13"/>
      <c r="C26" s="12"/>
      <c r="D26" s="12"/>
      <c r="E26" s="14"/>
      <c r="F26" s="25" t="s">
        <v>45</v>
      </c>
    </row>
    <row r="27" spans="1:8" x14ac:dyDescent="0.45">
      <c r="A27" s="12"/>
      <c r="B27" s="13"/>
      <c r="C27" s="12"/>
      <c r="D27" s="12"/>
      <c r="E27" s="14"/>
    </row>
    <row r="28" spans="1:8" x14ac:dyDescent="0.45">
      <c r="A28" s="12"/>
      <c r="B28" s="13"/>
      <c r="C28" s="12"/>
      <c r="D28" s="12"/>
      <c r="E28" s="14"/>
    </row>
    <row r="29" spans="1:8" x14ac:dyDescent="0.45">
      <c r="A29" s="12"/>
      <c r="B29" s="13"/>
      <c r="C29" s="12"/>
      <c r="D29" s="12"/>
      <c r="E29" s="14"/>
    </row>
    <row r="30" spans="1:8" x14ac:dyDescent="0.45">
      <c r="A30" s="12"/>
      <c r="B30" s="13"/>
      <c r="C30" s="12"/>
      <c r="D30" s="12"/>
      <c r="E30" s="14"/>
    </row>
    <row r="31" spans="1:8" x14ac:dyDescent="0.45">
      <c r="A31" s="12"/>
      <c r="B31" s="13"/>
      <c r="C31" s="12"/>
      <c r="D31" s="12"/>
      <c r="E31" s="14"/>
    </row>
    <row r="32" spans="1:8" x14ac:dyDescent="0.45">
      <c r="A32" s="12"/>
      <c r="B32" s="13"/>
      <c r="C32" s="12"/>
      <c r="D32" s="12"/>
      <c r="E32" s="14"/>
    </row>
    <row r="33" spans="1:5" x14ac:dyDescent="0.45">
      <c r="A33" s="12"/>
      <c r="B33" s="13"/>
      <c r="C33" s="12"/>
      <c r="D33" s="12"/>
      <c r="E33" s="14"/>
    </row>
    <row r="34" spans="1:5" x14ac:dyDescent="0.45">
      <c r="A34" s="12"/>
      <c r="B34" s="13"/>
      <c r="C34" s="12"/>
      <c r="D34" s="12"/>
      <c r="E34" s="14"/>
    </row>
    <row r="35" spans="1:5" x14ac:dyDescent="0.45">
      <c r="A35" s="12"/>
      <c r="B35" s="13"/>
      <c r="C35" s="12"/>
      <c r="D35" s="12"/>
      <c r="E35" s="14"/>
    </row>
    <row r="36" spans="1:5" x14ac:dyDescent="0.45">
      <c r="A36" s="12"/>
      <c r="B36" s="13"/>
      <c r="C36" s="12"/>
      <c r="D36" s="12"/>
      <c r="E36" s="14"/>
    </row>
    <row r="37" spans="1:5" x14ac:dyDescent="0.45">
      <c r="A37" s="12"/>
      <c r="B37" s="13"/>
      <c r="C37" s="12"/>
      <c r="D37" s="12"/>
      <c r="E37" s="14"/>
    </row>
    <row r="38" spans="1:5" x14ac:dyDescent="0.45">
      <c r="A38" s="12"/>
      <c r="B38" s="13"/>
      <c r="C38" s="12"/>
      <c r="D38" s="12"/>
      <c r="E38" s="14"/>
    </row>
    <row r="39" spans="1:5" x14ac:dyDescent="0.45">
      <c r="A39" s="12"/>
      <c r="B39" s="13"/>
      <c r="C39" s="12"/>
      <c r="D39" s="12"/>
      <c r="E39" s="14"/>
    </row>
    <row r="40" spans="1:5" x14ac:dyDescent="0.45">
      <c r="A40" s="12"/>
      <c r="B40" s="13"/>
      <c r="C40" s="12"/>
      <c r="D40" s="12"/>
      <c r="E40" s="14"/>
    </row>
    <row r="41" spans="1:5" x14ac:dyDescent="0.45">
      <c r="A41" s="12"/>
      <c r="B41" s="13"/>
      <c r="C41" s="12"/>
      <c r="D41" s="12"/>
      <c r="E41" s="14"/>
    </row>
    <row r="42" spans="1:5" x14ac:dyDescent="0.45">
      <c r="A42" s="12"/>
      <c r="B42" s="13"/>
      <c r="C42" s="12"/>
      <c r="D42" s="12"/>
      <c r="E42" s="14"/>
    </row>
    <row r="43" spans="1:5" x14ac:dyDescent="0.45">
      <c r="A43" s="12"/>
      <c r="B43" s="13"/>
      <c r="C43" s="12"/>
      <c r="D43" s="12"/>
      <c r="E43" s="14"/>
    </row>
    <row r="44" spans="1:5" x14ac:dyDescent="0.45">
      <c r="A44" s="12"/>
      <c r="B44" s="13"/>
      <c r="C44" s="12"/>
      <c r="D44" s="12"/>
      <c r="E44" s="14"/>
    </row>
    <row r="45" spans="1:5" x14ac:dyDescent="0.45">
      <c r="A45" s="12"/>
      <c r="B45" s="13"/>
      <c r="C45" s="12"/>
      <c r="D45" s="12"/>
      <c r="E45" s="14"/>
    </row>
    <row r="46" spans="1:5" x14ac:dyDescent="0.45">
      <c r="A46" s="12"/>
      <c r="B46" s="13"/>
      <c r="C46" s="12"/>
      <c r="D46" s="12"/>
      <c r="E46" s="14"/>
    </row>
    <row r="47" spans="1:5" x14ac:dyDescent="0.45">
      <c r="A47" s="12"/>
      <c r="B47" s="13"/>
      <c r="C47" s="12"/>
      <c r="D47" s="12"/>
      <c r="E47" s="14"/>
    </row>
    <row r="48" spans="1:5" x14ac:dyDescent="0.45">
      <c r="A48" s="12"/>
      <c r="B48" s="13"/>
      <c r="C48" s="12"/>
      <c r="D48" s="12"/>
      <c r="E48" s="14"/>
    </row>
    <row r="49" spans="1:5" x14ac:dyDescent="0.45">
      <c r="A49" s="12"/>
      <c r="B49" s="13"/>
      <c r="C49" s="12"/>
      <c r="D49" s="12"/>
      <c r="E49" s="14"/>
    </row>
    <row r="50" spans="1:5" x14ac:dyDescent="0.45">
      <c r="A50" s="12"/>
      <c r="B50" s="13"/>
      <c r="C50" s="12"/>
      <c r="D50" s="12"/>
      <c r="E50" s="14"/>
    </row>
    <row r="51" spans="1:5" x14ac:dyDescent="0.45">
      <c r="A51" s="12"/>
      <c r="B51" s="13"/>
      <c r="C51" s="12"/>
      <c r="D51" s="12"/>
      <c r="E51" s="14"/>
    </row>
    <row r="52" spans="1:5" x14ac:dyDescent="0.45">
      <c r="A52" s="12"/>
      <c r="B52" s="13"/>
      <c r="C52" s="12"/>
      <c r="D52" s="12"/>
      <c r="E52" s="14"/>
    </row>
    <row r="53" spans="1:5" x14ac:dyDescent="0.45">
      <c r="A53" s="12"/>
      <c r="B53" s="13"/>
      <c r="C53" s="12"/>
      <c r="D53" s="12"/>
      <c r="E53" s="14"/>
    </row>
    <row r="54" spans="1:5" x14ac:dyDescent="0.45">
      <c r="A54" s="12"/>
      <c r="B54" s="13"/>
      <c r="C54" s="12"/>
      <c r="D54" s="12"/>
      <c r="E54" s="14"/>
    </row>
    <row r="55" spans="1:5" x14ac:dyDescent="0.45">
      <c r="A55" s="12"/>
      <c r="B55" s="13"/>
      <c r="C55" s="12"/>
      <c r="D55" s="12"/>
      <c r="E55" s="14"/>
    </row>
    <row r="56" spans="1:5" x14ac:dyDescent="0.45">
      <c r="A56" s="12"/>
      <c r="B56" s="13"/>
      <c r="C56" s="12"/>
      <c r="D56" s="12"/>
      <c r="E56" s="14"/>
    </row>
    <row r="57" spans="1:5" x14ac:dyDescent="0.45">
      <c r="A57" s="12"/>
      <c r="B57" s="13"/>
      <c r="C57" s="12"/>
      <c r="D57" s="12"/>
      <c r="E57" s="14"/>
    </row>
    <row r="58" spans="1:5" x14ac:dyDescent="0.45">
      <c r="A58" s="12"/>
      <c r="B58" s="13"/>
      <c r="C58" s="12"/>
      <c r="D58" s="12"/>
      <c r="E58" s="14"/>
    </row>
    <row r="59" spans="1:5" x14ac:dyDescent="0.45">
      <c r="A59" s="12"/>
      <c r="B59" s="13"/>
      <c r="C59" s="12"/>
      <c r="D59" s="12"/>
      <c r="E59" s="14"/>
    </row>
    <row r="60" spans="1:5" x14ac:dyDescent="0.45">
      <c r="A60" s="12"/>
      <c r="B60" s="13"/>
      <c r="C60" s="12"/>
      <c r="D60" s="12"/>
      <c r="E60" s="14"/>
    </row>
    <row r="61" spans="1:5" x14ac:dyDescent="0.45">
      <c r="A61" s="12"/>
      <c r="B61" s="13"/>
      <c r="C61" s="12"/>
      <c r="D61" s="12"/>
      <c r="E61" s="14"/>
    </row>
    <row r="62" spans="1:5" x14ac:dyDescent="0.45">
      <c r="A62" s="12"/>
      <c r="B62" s="13"/>
      <c r="C62" s="12"/>
      <c r="D62" s="12"/>
      <c r="E62" s="14"/>
    </row>
    <row r="63" spans="1:5" x14ac:dyDescent="0.45">
      <c r="A63" s="12"/>
      <c r="B63" s="13"/>
      <c r="C63" s="12"/>
      <c r="D63" s="12"/>
      <c r="E63" s="14"/>
    </row>
    <row r="64" spans="1:5" x14ac:dyDescent="0.45">
      <c r="A64" s="12"/>
      <c r="B64" s="13"/>
      <c r="C64" s="12"/>
      <c r="D64" s="12"/>
      <c r="E64" s="14"/>
    </row>
    <row r="65" spans="1:5" x14ac:dyDescent="0.45">
      <c r="A65" s="12"/>
      <c r="B65" s="13"/>
      <c r="C65" s="12"/>
      <c r="D65" s="12"/>
      <c r="E65" s="14"/>
    </row>
    <row r="66" spans="1:5" x14ac:dyDescent="0.45">
      <c r="A66" s="12"/>
      <c r="B66" s="13"/>
      <c r="C66" s="12"/>
      <c r="D66" s="12"/>
      <c r="E66" s="14"/>
    </row>
    <row r="67" spans="1:5" x14ac:dyDescent="0.45">
      <c r="A67" s="12"/>
      <c r="B67" s="13"/>
      <c r="C67" s="12"/>
      <c r="D67" s="12"/>
      <c r="E67" s="14"/>
    </row>
    <row r="68" spans="1:5" x14ac:dyDescent="0.45">
      <c r="A68" s="12"/>
      <c r="B68" s="13"/>
      <c r="C68" s="12"/>
      <c r="D68" s="12"/>
      <c r="E68" s="14"/>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25" x14ac:dyDescent="0.4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Princeton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 L. Nguyen</dc:creator>
  <cp:lastModifiedBy>Shanie Hsieh</cp:lastModifiedBy>
  <dcterms:created xsi:type="dcterms:W3CDTF">2017-07-17T15:31:43Z</dcterms:created>
  <dcterms:modified xsi:type="dcterms:W3CDTF">2017-08-02T21:00:20Z</dcterms:modified>
</cp:coreProperties>
</file>