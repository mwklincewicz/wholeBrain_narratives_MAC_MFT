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Mai - Shapes Animation\Audio\Time Stamps\"/>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<sst xmlns="http://schemas.openxmlformats.org/spreadsheetml/2006/main" count="47" uniqueCount="41">
  <si>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</si>
  <si>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</si>
  <si>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</si>
  <si>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</si>
  <si>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</si>
  <si>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</si>
  <si>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</si>
  <si>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</si>
  <si>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</si>
  <si>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</si>
  <si>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</si>
  <si>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</si>
  <si>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</si>
  <si>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</si>
  <si>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</si>
  <si>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</si>
  <si>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</si>
  <si>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</si>
  <si>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</si>
  <si>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</si>
  <si>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</si>
  <si>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</si>
  <si>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</si>
  <si>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</si>
  <si>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</si>
  <si>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So the story, um, it’s like an observer and you see this young boy in a school yard.  And he’s kicking a ball, um, but by himself as far as we know, there aren’t any kids around. And he’s um, we hear that he kicks it, and then he catches up to the ball and then lines up and hits it again. He hits it into the fence a few times, whereupon his dad arrives and calls him over. He kicks it again and he joins his dad, and something was happened several times.</t>
  </si>
  <si>
    <t>They briefly change a few words and that’s all we know. There isn’t any dialogue. And the climb into the car and drive home. They live in a two-story house with a pointed roof.</t>
  </si>
  <si>
    <t>Um, after a brief chat, the boy um, is like tucked into bed right away. Which is pretty early I guess. But the dad also goes to bed at the same time. And thus begins a series of, um dreams on consecutive nights.</t>
  </si>
  <si>
    <t>So, um, early in the night, the boy dreams um, that he’s um, floating up through the ceiling into the sky. Um, and there’s a bird, and this bird, um, splits into two birds. The two birds split into four birds. And he’s flying around and it’s like great until suddenly the birds turn on him and start chasing him and he can’t get away.</t>
  </si>
  <si>
    <t>So the dream ends and he sleeps peacefully for the rest of the night.</t>
  </si>
  <si>
    <t>Um, in the morning, the dad goes up and wakes him in his room. He goes down, again we don’t hear what they say. We’re a very detached observer, and the boy goes out for the day. The day passes. He returns.</t>
  </si>
  <si>
    <t>He has a brief chat and he goes to sleep.</t>
  </si>
  <si>
    <t>Every night he has a dream, and it’s the birds again. Starting with the four birds now, um, it’s still this like um, this scenario it’s kind of adversarial. So not super fun, he’s kind of freaked out.</t>
  </si>
  <si>
    <t>But then he awakes, I’m sorry, rather, in the dream he was able, the dream ends, and he was able to sleep the rest of the night.</t>
  </si>
  <si>
    <t>Um, and this happens again, and then the next night, he, um, I believe that it was a monster that appears, a towering monster, um, which is super scary.</t>
  </si>
  <si>
    <t>Um, then this other boy shows up and they’re flying around um, slash, hovering around the monster’s feet while the monster was lunging at them.</t>
  </si>
  <si>
    <t>Um, and then they see this ball, and they kind of load it into this slingshot and launch the ball at the monster. The monster is like vanquished, and as soon as that happens, he looks for the other boy.</t>
  </si>
  <si>
    <t>The other boy disappeared. So he’s looking for him, looking for him, but his friend seems to be gone.</t>
  </si>
  <si>
    <t>And this boy from his dream shows up.</t>
  </si>
  <si>
    <t>And I don’t know if we’re supposed to believe the boy is imagined or not, but it’s apparently the same boy, and they pass the boy back and forth to one another. And it’s like really delightful because you know, because, you’ve seen so far this boy is pretty lonely. He has this humdrum routine, and that’s where it ends.</t>
  </si>
  <si>
    <t>Um, the next day, we see him at the schoolyard again hitting the ball.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</si>
</sst>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6">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164" fontId="0" fillId="0" borderId="0" xfId="0" applyNumberFormat="1"/>
    <xf numFmtId="164" fontId="1" fillId="0" borderId="3" xfId="0" applyNumberFormat="1" applyFont="1" applyBorder="1"/>
    <xf numFmtId="164" fontId="0" fillId="2" borderId="0" xfId="0" applyNumberFormat="1" applyFill="1" applyBorder="1"/>
    <xf numFmtId="164" fontId="0" fillId="2" borderId="0" xfId="0" applyNumberFormat="1" applyFill="1"/>
    <xf numFmtId="0" fontId="4" fillId="0" borderId="0" xfId="0" applyFont="1" applyAlignment="1">
      <alignment wrapText="1"/>
    </xf>
    <xf numFmtId="0" fontId="4"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topLeftCell="A8" zoomScale="90" zoomScaleNormal="90" workbookViewId="0">
      <selection activeCell="G26" sqref="G26"/>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style="20" customWidth="1"/>
    <col min="8" max="8" width="20.6640625" style="20" customWidth="1"/>
  </cols>
  <sheetData>
    <row r="1" spans="1:8" s="19" customFormat="1" ht="15.75" x14ac:dyDescent="0.5">
      <c r="A1" s="1"/>
      <c r="B1" s="2" t="s">
        <v>0</v>
      </c>
      <c r="C1" s="3" t="s">
        <v>1</v>
      </c>
      <c r="D1" s="1" t="s">
        <v>2</v>
      </c>
      <c r="E1" s="4" t="s">
        <v>3</v>
      </c>
      <c r="F1" s="19" t="s">
        <v>22</v>
      </c>
      <c r="G1" s="21" t="s">
        <v>23</v>
      </c>
      <c r="H1" s="21" t="s">
        <v>24</v>
      </c>
    </row>
    <row r="2" spans="1:8" ht="15.75" x14ac:dyDescent="0.5">
      <c r="A2" s="5"/>
      <c r="B2" s="6" t="s">
        <v>4</v>
      </c>
      <c r="C2" s="5"/>
      <c r="D2" s="7">
        <v>0</v>
      </c>
      <c r="E2" s="8">
        <v>24</v>
      </c>
    </row>
    <row r="3" spans="1:8" ht="15.75" x14ac:dyDescent="0.5">
      <c r="A3" s="5"/>
      <c r="B3" s="6" t="s">
        <v>5</v>
      </c>
      <c r="C3" s="5"/>
      <c r="D3" s="7">
        <v>24</v>
      </c>
      <c r="E3" s="8">
        <v>30</v>
      </c>
    </row>
    <row r="4" spans="1:8" ht="85.5" x14ac:dyDescent="0.45">
      <c r="A4" s="9">
        <v>1</v>
      </c>
      <c r="B4" s="10" t="s">
        <v>6</v>
      </c>
      <c r="C4" s="9">
        <v>44.7</v>
      </c>
      <c r="D4" s="9">
        <f>ROUND(C4/1.5,0)</f>
        <v>30</v>
      </c>
      <c r="E4" s="11">
        <f>D5-1</f>
        <v>41</v>
      </c>
      <c r="F4" s="25" t="s">
        <v>25</v>
      </c>
      <c r="G4" s="23">
        <v>47.2</v>
      </c>
      <c r="H4" s="23">
        <v>92.6</v>
      </c>
    </row>
    <row r="5" spans="1:8" ht="42.75" x14ac:dyDescent="0.45">
      <c r="A5" s="12">
        <f>A4+1</f>
        <v>2</v>
      </c>
      <c r="B5" s="13" t="s">
        <v>7</v>
      </c>
      <c r="C5" s="12">
        <v>62.6</v>
      </c>
      <c r="D5" s="12">
        <f t="shared" ref="D5:D24" si="0">ROUND(C5/1.5,0)</f>
        <v>42</v>
      </c>
      <c r="E5" s="14">
        <f>D6-1</f>
        <v>51</v>
      </c>
      <c r="F5" s="24" t="s">
        <v>26</v>
      </c>
      <c r="G5" s="20">
        <v>93.2</v>
      </c>
      <c r="H5" s="20">
        <v>106.4</v>
      </c>
    </row>
    <row r="6" spans="1:8" ht="42.75" x14ac:dyDescent="0.45">
      <c r="A6" s="12">
        <f t="shared" ref="A6:A25" si="1">A5+1</f>
        <v>3</v>
      </c>
      <c r="B6" s="10" t="s">
        <v>8</v>
      </c>
      <c r="C6" s="9">
        <v>76.400000000000006</v>
      </c>
      <c r="D6" s="9">
        <v>52</v>
      </c>
      <c r="E6" s="11">
        <v>73</v>
      </c>
      <c r="F6" s="25" t="s">
        <v>27</v>
      </c>
      <c r="G6" s="22">
        <v>107.3</v>
      </c>
      <c r="H6" s="23">
        <v>126</v>
      </c>
    </row>
    <row r="7" spans="1:8" ht="71.25" x14ac:dyDescent="0.45">
      <c r="A7" s="12">
        <f t="shared" si="1"/>
        <v>4</v>
      </c>
      <c r="B7" s="13" t="s">
        <v>9</v>
      </c>
      <c r="C7" s="12">
        <v>110</v>
      </c>
      <c r="D7" s="12">
        <v>74</v>
      </c>
      <c r="E7" s="14">
        <v>97</v>
      </c>
      <c r="F7" s="24" t="s">
        <v>28</v>
      </c>
      <c r="G7" s="20">
        <v>126.1</v>
      </c>
      <c r="H7" s="20">
        <v>154.5</v>
      </c>
    </row>
    <row r="8" spans="1:8" x14ac:dyDescent="0.45">
      <c r="A8" s="12">
        <f t="shared" si="1"/>
        <v>5</v>
      </c>
      <c r="B8" s="10" t="s">
        <v>10</v>
      </c>
      <c r="C8" s="9">
        <v>145.4</v>
      </c>
      <c r="D8" s="9">
        <v>98</v>
      </c>
      <c r="E8" s="11">
        <v>102</v>
      </c>
      <c r="F8" s="25" t="s">
        <v>29</v>
      </c>
      <c r="G8" s="23">
        <v>155.69999999999999</v>
      </c>
      <c r="H8" s="23">
        <v>159.80000000000001</v>
      </c>
    </row>
    <row r="9" spans="1:8" ht="42.75" x14ac:dyDescent="0.45">
      <c r="A9" s="12">
        <f t="shared" si="1"/>
        <v>6</v>
      </c>
      <c r="B9" s="13" t="s">
        <v>11</v>
      </c>
      <c r="C9" s="12">
        <v>154.6</v>
      </c>
      <c r="D9" s="12">
        <f t="shared" si="0"/>
        <v>103</v>
      </c>
      <c r="E9" s="14">
        <v>121</v>
      </c>
      <c r="F9" s="24" t="s">
        <v>30</v>
      </c>
      <c r="G9" s="20">
        <v>160.69999999999999</v>
      </c>
      <c r="H9" s="20">
        <v>177.4</v>
      </c>
    </row>
    <row r="10" spans="1:8" x14ac:dyDescent="0.45">
      <c r="A10" s="12">
        <f t="shared" si="1"/>
        <v>7</v>
      </c>
      <c r="B10" s="10" t="s">
        <v>8</v>
      </c>
      <c r="C10" s="9">
        <v>182.7</v>
      </c>
      <c r="D10" s="9">
        <f t="shared" si="0"/>
        <v>122</v>
      </c>
      <c r="E10" s="11">
        <v>132</v>
      </c>
      <c r="F10" s="25" t="s">
        <v>31</v>
      </c>
      <c r="G10" s="23">
        <v>177.8</v>
      </c>
      <c r="H10" s="23">
        <v>180.1</v>
      </c>
    </row>
    <row r="11" spans="1:8" ht="42.75" x14ac:dyDescent="0.45">
      <c r="A11" s="12">
        <f t="shared" si="1"/>
        <v>8</v>
      </c>
      <c r="B11" s="13" t="s">
        <v>12</v>
      </c>
      <c r="C11" s="12">
        <v>199</v>
      </c>
      <c r="D11" s="12">
        <f t="shared" si="0"/>
        <v>133</v>
      </c>
      <c r="E11" s="14">
        <v>142</v>
      </c>
      <c r="F11" s="24" t="s">
        <v>32</v>
      </c>
      <c r="G11" s="20">
        <v>180.6</v>
      </c>
      <c r="H11" s="20">
        <v>197.2</v>
      </c>
    </row>
    <row r="12" spans="1:8" x14ac:dyDescent="0.45">
      <c r="A12" s="12">
        <f t="shared" si="1"/>
        <v>9</v>
      </c>
      <c r="B12" s="10" t="s">
        <v>13</v>
      </c>
      <c r="C12" s="9">
        <v>213.8</v>
      </c>
      <c r="D12" s="9">
        <f t="shared" si="0"/>
        <v>143</v>
      </c>
      <c r="E12" s="11">
        <v>155</v>
      </c>
      <c r="F12" s="25"/>
      <c r="G12" s="23"/>
      <c r="H12" s="23"/>
    </row>
    <row r="13" spans="1:8" ht="28.5" x14ac:dyDescent="0.45">
      <c r="A13" s="12">
        <f t="shared" si="1"/>
        <v>10</v>
      </c>
      <c r="B13" s="13" t="s">
        <v>10</v>
      </c>
      <c r="C13" s="12">
        <v>232</v>
      </c>
      <c r="D13" s="12">
        <v>156</v>
      </c>
      <c r="E13" s="14">
        <v>161</v>
      </c>
      <c r="F13" s="24" t="s">
        <v>33</v>
      </c>
      <c r="G13" s="20">
        <v>199</v>
      </c>
      <c r="H13" s="20">
        <v>207.3</v>
      </c>
    </row>
    <row r="14" spans="1:8" x14ac:dyDescent="0.45">
      <c r="A14" s="12">
        <f t="shared" si="1"/>
        <v>11</v>
      </c>
      <c r="B14" s="10" t="s">
        <v>11</v>
      </c>
      <c r="C14" s="9">
        <v>243</v>
      </c>
      <c r="D14" s="9">
        <f t="shared" si="0"/>
        <v>162</v>
      </c>
      <c r="E14" s="11">
        <v>174</v>
      </c>
      <c r="F14" s="25"/>
      <c r="G14" s="23"/>
      <c r="H14" s="23"/>
    </row>
    <row r="15" spans="1:8" x14ac:dyDescent="0.45">
      <c r="A15" s="12">
        <f t="shared" si="1"/>
        <v>12</v>
      </c>
      <c r="B15" s="13" t="s">
        <v>8</v>
      </c>
      <c r="C15" s="12">
        <v>263</v>
      </c>
      <c r="D15" s="12">
        <f t="shared" si="0"/>
        <v>175</v>
      </c>
      <c r="E15" s="14">
        <v>188</v>
      </c>
      <c r="F15" s="24"/>
    </row>
    <row r="16" spans="1:8" ht="28.5" x14ac:dyDescent="0.45">
      <c r="A16" s="12">
        <f t="shared" si="1"/>
        <v>13</v>
      </c>
      <c r="B16" s="10" t="s">
        <v>14</v>
      </c>
      <c r="C16" s="9">
        <v>281.2</v>
      </c>
      <c r="D16" s="9">
        <v>189</v>
      </c>
      <c r="E16" s="11">
        <v>201</v>
      </c>
      <c r="F16" s="25" t="s">
        <v>34</v>
      </c>
      <c r="G16" s="23">
        <v>208.1</v>
      </c>
      <c r="H16" s="23">
        <v>219.9</v>
      </c>
    </row>
    <row r="17" spans="1:8" ht="28.5" x14ac:dyDescent="0.45">
      <c r="A17" s="12">
        <f t="shared" si="1"/>
        <v>14</v>
      </c>
      <c r="B17" s="13" t="s">
        <v>15</v>
      </c>
      <c r="C17" s="12">
        <v>302.5</v>
      </c>
      <c r="D17" s="12">
        <f t="shared" si="0"/>
        <v>202</v>
      </c>
      <c r="E17" s="14">
        <v>208</v>
      </c>
      <c r="F17" s="24" t="s">
        <v>35</v>
      </c>
      <c r="G17" s="20">
        <v>220.5</v>
      </c>
      <c r="H17" s="20">
        <v>231.3</v>
      </c>
    </row>
    <row r="18" spans="1:8" ht="42.75" x14ac:dyDescent="0.45">
      <c r="A18" s="12">
        <f t="shared" si="1"/>
        <v>15</v>
      </c>
      <c r="B18" s="10" t="s">
        <v>16</v>
      </c>
      <c r="C18" s="9">
        <v>312</v>
      </c>
      <c r="D18" s="9">
        <v>209</v>
      </c>
      <c r="E18" s="11">
        <v>220</v>
      </c>
      <c r="F18" s="25" t="s">
        <v>36</v>
      </c>
      <c r="G18" s="23">
        <v>232.1</v>
      </c>
      <c r="H18" s="23">
        <v>248.5</v>
      </c>
    </row>
    <row r="19" spans="1:8" ht="28.5" x14ac:dyDescent="0.45">
      <c r="A19" s="12">
        <f t="shared" si="1"/>
        <v>16</v>
      </c>
      <c r="B19" s="13" t="s">
        <v>17</v>
      </c>
      <c r="C19" s="12">
        <v>331.7</v>
      </c>
      <c r="D19" s="12">
        <f t="shared" si="0"/>
        <v>221</v>
      </c>
      <c r="E19" s="14">
        <v>241</v>
      </c>
      <c r="F19" s="24" t="s">
        <v>37</v>
      </c>
      <c r="G19" s="20">
        <v>248.6</v>
      </c>
      <c r="H19" s="20">
        <v>254.4</v>
      </c>
    </row>
    <row r="20" spans="1:8" x14ac:dyDescent="0.45">
      <c r="A20" s="12">
        <f t="shared" si="1"/>
        <v>17</v>
      </c>
      <c r="B20" s="10" t="s">
        <v>10</v>
      </c>
      <c r="C20" s="9">
        <v>363.7</v>
      </c>
      <c r="D20" s="9">
        <f t="shared" si="0"/>
        <v>242</v>
      </c>
      <c r="E20" s="11">
        <v>250</v>
      </c>
      <c r="F20" s="25"/>
      <c r="G20" s="23"/>
      <c r="H20" s="23"/>
    </row>
    <row r="21" spans="1:8" x14ac:dyDescent="0.45">
      <c r="A21" s="12">
        <f t="shared" si="1"/>
        <v>18</v>
      </c>
      <c r="B21" s="13" t="s">
        <v>18</v>
      </c>
      <c r="C21" s="15">
        <v>376.6</v>
      </c>
      <c r="D21" s="12">
        <f t="shared" si="0"/>
        <v>251</v>
      </c>
      <c r="E21" s="14">
        <v>260</v>
      </c>
      <c r="F21" s="24"/>
    </row>
    <row r="22" spans="1:8" x14ac:dyDescent="0.45">
      <c r="A22" s="12">
        <f t="shared" si="1"/>
        <v>19</v>
      </c>
      <c r="B22" s="10" t="s">
        <v>19</v>
      </c>
      <c r="C22" s="16">
        <v>390</v>
      </c>
      <c r="D22" s="9">
        <v>261</v>
      </c>
      <c r="E22" s="11">
        <v>270</v>
      </c>
      <c r="F22" s="25"/>
      <c r="G22" s="23"/>
      <c r="H22" s="23"/>
    </row>
    <row r="23" spans="1:8" x14ac:dyDescent="0.45">
      <c r="A23" s="12">
        <f t="shared" si="1"/>
        <v>20</v>
      </c>
      <c r="B23" s="13" t="s">
        <v>6</v>
      </c>
      <c r="C23" s="17">
        <v>406</v>
      </c>
      <c r="D23" s="12">
        <f t="shared" si="0"/>
        <v>271</v>
      </c>
      <c r="E23" s="14">
        <v>280</v>
      </c>
      <c r="F23" s="24" t="s">
        <v>40</v>
      </c>
      <c r="G23" s="20">
        <v>255.8</v>
      </c>
      <c r="H23" s="20">
        <v>259.7</v>
      </c>
    </row>
    <row r="24" spans="1:8" x14ac:dyDescent="0.45">
      <c r="A24" s="12">
        <f t="shared" si="1"/>
        <v>21</v>
      </c>
      <c r="B24" s="10" t="s">
        <v>20</v>
      </c>
      <c r="C24" s="9">
        <v>421</v>
      </c>
      <c r="D24" s="9">
        <f t="shared" si="0"/>
        <v>281</v>
      </c>
      <c r="E24" s="11">
        <v>292</v>
      </c>
      <c r="F24" s="25" t="s">
        <v>38</v>
      </c>
      <c r="G24" s="23">
        <v>261.39999999999998</v>
      </c>
      <c r="H24" s="23">
        <v>263.8</v>
      </c>
    </row>
    <row r="25" spans="1:8" ht="71.25" x14ac:dyDescent="0.45">
      <c r="A25" s="12">
        <f t="shared" si="1"/>
        <v>22</v>
      </c>
      <c r="B25" s="13" t="s">
        <v>21</v>
      </c>
      <c r="C25" s="12">
        <v>438.5</v>
      </c>
      <c r="D25" s="12">
        <v>293</v>
      </c>
      <c r="E25" s="14">
        <v>300</v>
      </c>
      <c r="F25" s="24" t="s">
        <v>39</v>
      </c>
      <c r="G25" s="20">
        <v>264.39999999999998</v>
      </c>
      <c r="H25" s="20">
        <v>290.60000000000002</v>
      </c>
    </row>
    <row r="26" spans="1:8" x14ac:dyDescent="0.45">
      <c r="A26" s="12"/>
      <c r="B26" s="13"/>
      <c r="C26" s="12"/>
      <c r="D26" s="12"/>
      <c r="E26" s="14"/>
      <c r="F26" s="2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2017-08-03T18:03:26Z</dcterms:modified>
</cp:coreProperties>
</file>