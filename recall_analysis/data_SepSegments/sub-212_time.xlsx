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Shapes Animation\MW_021116\"/>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<sst xmlns="http://schemas.openxmlformats.org/spreadsheetml/2006/main" count="47" uniqueCount="41">
  <si>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</si>
  <si>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</si>
  <si>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</si>
  <si>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</si>
  <si>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</si>
  <si>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</si>
  <si>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</si>
  <si>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</si>
  <si>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</si>
  <si>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</si>
  <si>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</si>
  <si>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</si>
  <si>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</si>
  <si>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</si>
  <si>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</si>
  <si>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</si>
  <si>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</si>
  <si>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</si>
  <si>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</si>
  <si>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</si>
  <si>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</si>
  <si>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</si>
  <si>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</si>
  <si>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</si>
  <si>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</si>
  <si>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It starts out with a rectangle which is like a room or a playpen or something, um, with one little bit open on the top left corner and a little triangle playing with a ball by himself, with you know, bouncing it against the walls.</t>
  </si>
  <si>
    <t>Um, and then a big triangle comes in the left side, and the little triangle leaves the rectangle to, uh, to the meet them. And then they go off to the side, to the left together. And then they go into their house, which is formed out of the same things the rectangle was. And they say “hi” to each other, and the, um, little one goes up these invisible stairs to a room on the top level.</t>
  </si>
  <si>
    <t>Um, the big one sleeps on the bottom. They both turn facing up to signify that they’re sleeping. And the little triangle starts dreaming.</t>
  </si>
  <si>
    <t>And the house breaks apart and turns into rooftops and birds that the little triangle’s flying around with the birds. Uh, and having fun, and then the music turns sort of, I don’t know, ominous, and the birds start chasing the little triangle.</t>
  </si>
  <si>
    <t>And, again the the little triangle starts to dream. And the house breaks apart, and this time turns into a what looks kind of like an angry, um, monster that’s really big, with big long arms and legs, um, made up of, two,  um, the eyes are just two pieces that are slanted, and has just  these long arms and legs that start chasing the little triangle and starts trying to um grab him.</t>
  </si>
  <si>
    <t>Uh, then the little triangle wakes up again, and the same thing happens where, um, goes downstairs, says “hi” to the parent triangle, and then leaves, um, down through the bottom of the screen again. Uh, the big triangle folds into the house once more. The house spins around, and then the little triangle, the big triangle come back. And they say “hi” and go to sleep again.</t>
  </si>
  <si>
    <t>The little triangle starts to dream, and the house breaks apart again into the same monster. And it becomes even more scary and intense and really starts to try and catch him. He’s running around.</t>
  </si>
  <si>
    <t>And then a little square comes into the picture from the bottom left hand side of the screen, and has a ball with him. And then the, uh, the monster starts to close in on them. The big arms starting to wrap all of them.</t>
  </si>
  <si>
    <t>They start to shake and then they launch the ball right at him and just in time, he falls apart into little pieces.</t>
  </si>
  <si>
    <t>And, um, they’re saved, and the, uh, little square goes away and the little triangle, um, sort of goes up and around the pile, uh, of the, of what’s left of the monster, and pulls out the ball. And then leaves it there, and exits to the right side of the screen.</t>
  </si>
  <si>
    <t>Um, then, um, it turns back into the original play pen or rectangle room.</t>
  </si>
  <si>
    <t>And the little triangle comes in, opens the door, enters, and starts to sort of slowly pushing around the ball, but is sad. And the music is sad.</t>
  </si>
  <si>
    <t>And the little square comes in and opens the door and comes in and, um, they start playing again.</t>
  </si>
  <si>
    <t>They’re really happy. Oh, he comes up and sort of nudges him on the back, and the little triangle turns around, and they’re all really happy and they start playing with the ball together. And the um, music is really happy. And then it ends. I’m done.</t>
  </si>
  <si>
    <t>And eventually, he wakes up and goes downstairs and says “bye” to the parent triangle, and goes off to the bottom of the screen. And then the, uh, big triangle sort of folded into the left side of the house, and then the whole house spun around. And um, the little triangle came back, and sort of the big triangle, um, and they went back, they said hi, and then</t>
  </si>
  <si>
    <t>the little triangle went up the stairs to sleep again. The big triangle went back to the modern right hand corner, fell asleep.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</si>
</sst>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5">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0" fontId="0" fillId="0" borderId="0" xfId="0" applyFont="1"/>
    <xf numFmtId="0" fontId="0" fillId="0" borderId="0" xfId="0" applyFont="1" applyAlignment="1">
      <alignment wrapText="1"/>
    </xf>
    <xf numFmtId="0" fontId="0" fillId="2" borderId="0" xfId="0" applyFont="1" applyFill="1" applyAlignment="1">
      <alignment wrapText="1"/>
    </xf>
    <xf numFmtId="0" fontId="0" fillId="2" borderId="0" xfId="0" applyFill="1"/>
    <xf numFmtId="0" fontId="0"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topLeftCell="A14" zoomScale="70" zoomScaleNormal="70" workbookViewId="0">
      <selection activeCell="F18" sqref="F18"/>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style="20" customWidth="1"/>
    <col min="7" max="7" width="20.59765625" customWidth="1"/>
    <col min="8" max="8" width="27.73046875" customWidth="1"/>
  </cols>
  <sheetData>
    <row r="1" spans="1:8" s="19" customFormat="1" ht="15.75" x14ac:dyDescent="0.5">
      <c r="A1" s="1"/>
      <c r="B1" s="2" t="s">
        <v>0</v>
      </c>
      <c r="C1" s="3" t="s">
        <v>1</v>
      </c>
      <c r="D1" s="1" t="s">
        <v>2</v>
      </c>
      <c r="E1" s="4" t="s">
        <v>3</v>
      </c>
      <c r="F1" s="19" t="s">
        <v>22</v>
      </c>
      <c r="G1" s="19" t="s">
        <v>23</v>
      </c>
      <c r="H1" s="19" t="s">
        <v>24</v>
      </c>
    </row>
    <row r="2" spans="1:8" ht="15.75" x14ac:dyDescent="0.5">
      <c r="A2" s="5"/>
      <c r="B2" s="6" t="s">
        <v>4</v>
      </c>
      <c r="C2" s="5"/>
      <c r="D2" s="7">
        <v>0</v>
      </c>
      <c r="E2" s="8">
        <v>24</v>
      </c>
    </row>
    <row r="3" spans="1:8" ht="15.75" x14ac:dyDescent="0.5">
      <c r="A3" s="5"/>
      <c r="B3" s="6" t="s">
        <v>5</v>
      </c>
      <c r="C3" s="5"/>
      <c r="D3" s="7">
        <v>24</v>
      </c>
      <c r="E3" s="8">
        <v>30</v>
      </c>
    </row>
    <row r="4" spans="1:8" ht="42.75" x14ac:dyDescent="0.45">
      <c r="A4" s="9">
        <v>1</v>
      </c>
      <c r="B4" s="10" t="s">
        <v>6</v>
      </c>
      <c r="C4" s="9">
        <v>44.7</v>
      </c>
      <c r="D4" s="9">
        <f>ROUND(C4/1.5,0)</f>
        <v>30</v>
      </c>
      <c r="E4" s="11">
        <f>D5-1</f>
        <v>41</v>
      </c>
      <c r="F4" s="22" t="s">
        <v>25</v>
      </c>
      <c r="G4" s="23">
        <v>52.9</v>
      </c>
      <c r="H4" s="23">
        <v>71</v>
      </c>
    </row>
    <row r="5" spans="1:8" ht="87.75" customHeight="1" x14ac:dyDescent="0.45">
      <c r="A5" s="12">
        <f>A4+1</f>
        <v>2</v>
      </c>
      <c r="B5" s="13" t="s">
        <v>7</v>
      </c>
      <c r="C5" s="12">
        <v>62.6</v>
      </c>
      <c r="D5" s="12">
        <f t="shared" ref="D5:D24" si="0">ROUND(C5/1.5,0)</f>
        <v>42</v>
      </c>
      <c r="E5" s="14">
        <f>D6-1</f>
        <v>51</v>
      </c>
      <c r="F5" s="21" t="s">
        <v>26</v>
      </c>
      <c r="G5">
        <v>71.8</v>
      </c>
      <c r="H5">
        <v>104.4</v>
      </c>
    </row>
    <row r="6" spans="1:8" ht="28.5" x14ac:dyDescent="0.45">
      <c r="A6" s="12">
        <f t="shared" ref="A6:A25" si="1">A5+1</f>
        <v>3</v>
      </c>
      <c r="B6" s="10" t="s">
        <v>8</v>
      </c>
      <c r="C6" s="9">
        <v>76.400000000000006</v>
      </c>
      <c r="D6" s="9">
        <v>52</v>
      </c>
      <c r="E6" s="11">
        <v>73</v>
      </c>
      <c r="F6" s="22" t="s">
        <v>27</v>
      </c>
      <c r="G6" s="9">
        <v>104.8</v>
      </c>
      <c r="H6" s="9">
        <v>114.5</v>
      </c>
    </row>
    <row r="7" spans="1:8" ht="57" x14ac:dyDescent="0.45">
      <c r="A7" s="12">
        <f t="shared" si="1"/>
        <v>4</v>
      </c>
      <c r="B7" s="13" t="s">
        <v>9</v>
      </c>
      <c r="C7" s="12">
        <v>110</v>
      </c>
      <c r="D7" s="12">
        <v>74</v>
      </c>
      <c r="E7" s="14">
        <v>97</v>
      </c>
      <c r="F7" s="21" t="s">
        <v>28</v>
      </c>
      <c r="G7" s="12">
        <v>115.4</v>
      </c>
      <c r="H7" s="12">
        <v>137.69999999999999</v>
      </c>
    </row>
    <row r="8" spans="1:8" x14ac:dyDescent="0.45">
      <c r="A8" s="12">
        <f t="shared" si="1"/>
        <v>5</v>
      </c>
      <c r="B8" s="10" t="s">
        <v>10</v>
      </c>
      <c r="C8" s="9">
        <v>145.4</v>
      </c>
      <c r="D8" s="9">
        <v>98</v>
      </c>
      <c r="E8" s="11">
        <v>102</v>
      </c>
      <c r="F8" s="24"/>
      <c r="G8" s="23"/>
      <c r="H8" s="23"/>
    </row>
    <row r="9" spans="1:8" ht="71.25" x14ac:dyDescent="0.45">
      <c r="A9" s="12">
        <f t="shared" si="1"/>
        <v>6</v>
      </c>
      <c r="B9" s="13" t="s">
        <v>11</v>
      </c>
      <c r="C9" s="12">
        <v>154.6</v>
      </c>
      <c r="D9" s="12">
        <f t="shared" si="0"/>
        <v>103</v>
      </c>
      <c r="E9" s="14">
        <v>121</v>
      </c>
      <c r="F9" s="21" t="s">
        <v>39</v>
      </c>
      <c r="G9">
        <v>138.6</v>
      </c>
      <c r="H9">
        <v>171.9</v>
      </c>
    </row>
    <row r="10" spans="1:8" ht="28.5" x14ac:dyDescent="0.45">
      <c r="A10" s="12">
        <f t="shared" si="1"/>
        <v>7</v>
      </c>
      <c r="B10" s="10" t="s">
        <v>8</v>
      </c>
      <c r="C10" s="9">
        <v>182.7</v>
      </c>
      <c r="D10" s="9">
        <f t="shared" si="0"/>
        <v>122</v>
      </c>
      <c r="E10" s="11">
        <v>132</v>
      </c>
      <c r="F10" s="22" t="s">
        <v>40</v>
      </c>
      <c r="G10" s="23">
        <v>172.7</v>
      </c>
      <c r="H10" s="9">
        <v>179.7</v>
      </c>
    </row>
    <row r="11" spans="1:8" x14ac:dyDescent="0.45">
      <c r="A11" s="12">
        <f t="shared" si="1"/>
        <v>8</v>
      </c>
      <c r="B11" s="13" t="s">
        <v>12</v>
      </c>
      <c r="C11" s="12">
        <v>199</v>
      </c>
      <c r="D11" s="12">
        <f t="shared" si="0"/>
        <v>133</v>
      </c>
      <c r="E11" s="14">
        <v>142</v>
      </c>
    </row>
    <row r="12" spans="1:8" ht="71.25" x14ac:dyDescent="0.45">
      <c r="A12" s="12">
        <f t="shared" si="1"/>
        <v>9</v>
      </c>
      <c r="B12" s="10" t="s">
        <v>13</v>
      </c>
      <c r="C12" s="9">
        <v>213.8</v>
      </c>
      <c r="D12" s="9">
        <f t="shared" si="0"/>
        <v>143</v>
      </c>
      <c r="E12" s="11">
        <v>155</v>
      </c>
      <c r="F12" s="22" t="s">
        <v>29</v>
      </c>
      <c r="G12" s="23">
        <v>180.5</v>
      </c>
      <c r="H12" s="9">
        <v>209.7</v>
      </c>
    </row>
    <row r="13" spans="1:8" x14ac:dyDescent="0.45">
      <c r="A13" s="12">
        <f t="shared" si="1"/>
        <v>10</v>
      </c>
      <c r="B13" s="13" t="s">
        <v>10</v>
      </c>
      <c r="C13" s="12">
        <v>232</v>
      </c>
      <c r="D13" s="12">
        <v>156</v>
      </c>
      <c r="E13" s="14">
        <v>161</v>
      </c>
    </row>
    <row r="14" spans="1:8" ht="86.25" customHeight="1" x14ac:dyDescent="0.45">
      <c r="A14" s="12">
        <f t="shared" si="1"/>
        <v>11</v>
      </c>
      <c r="B14" s="10" t="s">
        <v>11</v>
      </c>
      <c r="C14" s="9">
        <v>243</v>
      </c>
      <c r="D14" s="9">
        <f t="shared" si="0"/>
        <v>162</v>
      </c>
      <c r="E14" s="11">
        <v>174</v>
      </c>
      <c r="F14" s="22" t="s">
        <v>30</v>
      </c>
      <c r="G14" s="23">
        <v>210.6</v>
      </c>
      <c r="H14" s="9">
        <v>236.4</v>
      </c>
    </row>
    <row r="15" spans="1:8" x14ac:dyDescent="0.45">
      <c r="A15" s="12">
        <f t="shared" si="1"/>
        <v>12</v>
      </c>
      <c r="B15" s="13" t="s">
        <v>8</v>
      </c>
      <c r="C15" s="12">
        <v>263</v>
      </c>
      <c r="D15" s="12">
        <f t="shared" si="0"/>
        <v>175</v>
      </c>
      <c r="E15" s="14">
        <v>188</v>
      </c>
    </row>
    <row r="16" spans="1:8" ht="42.75" x14ac:dyDescent="0.45">
      <c r="A16" s="12">
        <f t="shared" si="1"/>
        <v>13</v>
      </c>
      <c r="B16" s="10" t="s">
        <v>14</v>
      </c>
      <c r="C16" s="9">
        <v>281.2</v>
      </c>
      <c r="D16" s="9">
        <v>189</v>
      </c>
      <c r="E16" s="11">
        <v>201</v>
      </c>
      <c r="F16" s="22" t="s">
        <v>31</v>
      </c>
      <c r="G16" s="23">
        <v>237.2</v>
      </c>
      <c r="H16" s="9">
        <v>249.9</v>
      </c>
    </row>
    <row r="17" spans="1:8" ht="42.75" x14ac:dyDescent="0.45">
      <c r="A17" s="12">
        <f t="shared" si="1"/>
        <v>14</v>
      </c>
      <c r="B17" s="13" t="s">
        <v>15</v>
      </c>
      <c r="C17" s="12">
        <v>302.5</v>
      </c>
      <c r="D17" s="12">
        <f t="shared" si="0"/>
        <v>202</v>
      </c>
      <c r="E17" s="14">
        <v>208</v>
      </c>
      <c r="F17" s="21" t="s">
        <v>32</v>
      </c>
      <c r="G17">
        <v>250.9</v>
      </c>
      <c r="H17">
        <v>268.8</v>
      </c>
    </row>
    <row r="18" spans="1:8" ht="28.5" x14ac:dyDescent="0.45">
      <c r="A18" s="12">
        <f t="shared" si="1"/>
        <v>15</v>
      </c>
      <c r="B18" s="10" t="s">
        <v>16</v>
      </c>
      <c r="C18" s="9">
        <v>312</v>
      </c>
      <c r="D18" s="9">
        <v>209</v>
      </c>
      <c r="E18" s="11">
        <v>220</v>
      </c>
      <c r="F18" s="22" t="s">
        <v>33</v>
      </c>
      <c r="G18" s="9">
        <v>269</v>
      </c>
      <c r="H18" s="9">
        <v>277.5</v>
      </c>
    </row>
    <row r="19" spans="1:8" ht="57" x14ac:dyDescent="0.45">
      <c r="A19" s="12">
        <f t="shared" si="1"/>
        <v>16</v>
      </c>
      <c r="B19" s="13" t="s">
        <v>17</v>
      </c>
      <c r="C19" s="12">
        <v>331.7</v>
      </c>
      <c r="D19" s="12">
        <f t="shared" si="0"/>
        <v>221</v>
      </c>
      <c r="E19" s="14">
        <v>241</v>
      </c>
      <c r="F19" s="21" t="s">
        <v>34</v>
      </c>
      <c r="G19">
        <v>278.39999999999998</v>
      </c>
      <c r="H19">
        <v>300.7</v>
      </c>
    </row>
    <row r="20" spans="1:8" x14ac:dyDescent="0.45">
      <c r="A20" s="12">
        <f t="shared" si="1"/>
        <v>17</v>
      </c>
      <c r="B20" s="10" t="s">
        <v>10</v>
      </c>
      <c r="C20" s="9">
        <v>363.7</v>
      </c>
      <c r="D20" s="9">
        <f t="shared" si="0"/>
        <v>242</v>
      </c>
      <c r="E20" s="11">
        <v>250</v>
      </c>
      <c r="F20" s="24"/>
      <c r="G20" s="23"/>
      <c r="H20" s="23"/>
    </row>
    <row r="21" spans="1:8" x14ac:dyDescent="0.45">
      <c r="A21" s="12">
        <f t="shared" si="1"/>
        <v>18</v>
      </c>
      <c r="B21" s="13" t="s">
        <v>18</v>
      </c>
      <c r="C21" s="15">
        <v>376.6</v>
      </c>
      <c r="D21" s="12">
        <f t="shared" si="0"/>
        <v>251</v>
      </c>
      <c r="E21" s="14">
        <v>260</v>
      </c>
    </row>
    <row r="22" spans="1:8" x14ac:dyDescent="0.45">
      <c r="A22" s="12">
        <f t="shared" si="1"/>
        <v>19</v>
      </c>
      <c r="B22" s="10" t="s">
        <v>19</v>
      </c>
      <c r="C22" s="16">
        <v>390</v>
      </c>
      <c r="D22" s="9">
        <v>261</v>
      </c>
      <c r="E22" s="11">
        <v>270</v>
      </c>
      <c r="F22" s="22" t="s">
        <v>35</v>
      </c>
      <c r="G22" s="9">
        <v>302.5</v>
      </c>
      <c r="H22" s="9">
        <v>310.3</v>
      </c>
    </row>
    <row r="23" spans="1:8" ht="28.5" x14ac:dyDescent="0.45">
      <c r="A23" s="12">
        <f t="shared" si="1"/>
        <v>20</v>
      </c>
      <c r="B23" s="13" t="s">
        <v>6</v>
      </c>
      <c r="C23" s="17">
        <v>406</v>
      </c>
      <c r="D23" s="12">
        <f t="shared" si="0"/>
        <v>271</v>
      </c>
      <c r="E23" s="14">
        <v>280</v>
      </c>
      <c r="F23" s="21" t="s">
        <v>36</v>
      </c>
      <c r="G23">
        <v>311</v>
      </c>
      <c r="H23">
        <v>321.39999999999998</v>
      </c>
    </row>
    <row r="24" spans="1:8" ht="28.5" x14ac:dyDescent="0.45">
      <c r="A24" s="12">
        <f t="shared" si="1"/>
        <v>21</v>
      </c>
      <c r="B24" s="10" t="s">
        <v>20</v>
      </c>
      <c r="C24" s="9">
        <v>421</v>
      </c>
      <c r="D24" s="9">
        <f t="shared" si="0"/>
        <v>281</v>
      </c>
      <c r="E24" s="11">
        <v>292</v>
      </c>
      <c r="F24" s="22" t="s">
        <v>37</v>
      </c>
      <c r="G24" s="23">
        <v>321.89999999999998</v>
      </c>
      <c r="H24" s="9">
        <v>327</v>
      </c>
    </row>
    <row r="25" spans="1:8" ht="57" x14ac:dyDescent="0.45">
      <c r="A25" s="12">
        <f t="shared" si="1"/>
        <v>22</v>
      </c>
      <c r="B25" s="13" t="s">
        <v>21</v>
      </c>
      <c r="C25" s="12">
        <v>438.5</v>
      </c>
      <c r="D25" s="12">
        <v>293</v>
      </c>
      <c r="E25" s="14">
        <v>300</v>
      </c>
      <c r="F25" s="21" t="s">
        <v>38</v>
      </c>
      <c r="G25" s="12">
        <v>327.10000000000002</v>
      </c>
      <c r="H25" s="12">
        <v>344.5</v>
      </c>
    </row>
    <row r="26" spans="1:8" x14ac:dyDescent="0.45">
      <c r="A26" s="12"/>
      <c r="B26" s="13"/>
      <c r="C26" s="12"/>
      <c r="D26" s="12"/>
      <c r="E26" s="1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2017-07-24T19:07:00Z</dcterms:modified>
</cp:coreProperties>
</file>