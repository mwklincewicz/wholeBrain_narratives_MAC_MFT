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6" i="1" l="1"/>
  <c r="A8" i="1"/>
  <c r="A9" i="1"/>
  <c r="A10" i="1"/>
  <c r="A11" i="1"/>
  <c r="A12" i="1"/>
  <c r="A13" i="1"/>
  <c r="A14" i="1"/>
  <c r="A15" i="1"/>
  <c r="A16" i="1"/>
  <c r="A17" i="1"/>
  <c r="A18" i="1"/>
  <c r="A19" i="1"/>
  <c r="A20" i="1"/>
  <c r="A21" i="1"/>
  <c r="A22" i="1"/>
  <c r="A23" i="1"/>
  <c r="A24" i="1"/>
  <c r="A25" i="1"/>
  <c r="A26" i="1"/>
  <c r="A27" i="1"/>
  <c r="D26" i="1"/>
  <c r="D25" i="1"/>
  <c r="D23" i="1"/>
  <c r="D22" i="1"/>
  <c r="D21" i="1"/>
  <c r="D19" i="1"/>
  <c r="D17" i="1"/>
  <c r="D16" i="1"/>
  <c r="D14" i="1"/>
  <c r="D13" i="1"/>
  <c r="D12" i="1"/>
  <c r="D11" i="1"/>
  <c r="E6" i="1"/>
  <c r="D6" i="1"/>
  <c r="E4" i="1"/>
  <c r="D4" i="1"/>
</calcChain>
</file>

<file path=xl/sharedStrings.xml><?xml version="1.0" encoding="utf-8"?>
<sst xmlns="http://schemas.openxmlformats.org/spreadsheetml/2006/main" count="47" uniqueCount="41">
  <si>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</si>
  <si>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</si>
  <si>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</si>
  <si>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</si>
  <si>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</si>
  <si>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</si>
  <si>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</si>
  <si>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</si>
  <si>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</si>
  <si>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</si>
  <si>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</si>
  <si>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</si>
  <si>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</si>
  <si>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</si>
  <si>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</si>
  <si>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</si>
  <si>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</si>
  <si>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</si>
  <si>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</si>
  <si>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</si>
  <si>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</si>
  <si>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</si>
  <si>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</si>
  <si>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</si>
  <si>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</si>
  <si>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Ok so the story starts out about, um, a young boy who is playing with a ball in his yard.</t>
  </si>
  <si>
    <t>And then he goes into the house with his dad.</t>
  </si>
  <si>
    <t>He was playing alone with the ball in the first scene.</t>
  </si>
  <si>
    <t>And then he goes into the house with his dad and they talk for a little bit.</t>
  </si>
  <si>
    <t>And then he goes up to bed,</t>
  </si>
  <si>
    <t>and then it goes into a little more detail about his dream and how he flies like the birds around him. And it’s kind of like a nightmare.</t>
  </si>
  <si>
    <t>And then, when he wakes up in the morning, he goes about his day again like normal.</t>
  </si>
  <si>
    <t>And, um, similar to the first night, on the second night he goes up to his bed. His dad goes downstairs to the first floor to go to sleep.</t>
  </si>
  <si>
    <t>And um, a detail, the story details the young boy dreaming again. And he has a similar dream where he is flying, but it seems even more scary the second time.</t>
  </si>
  <si>
    <t>And then, um, he wakes up in the morning and goes about his day again. Um, his dad, um, he and his dad talk when he leaves for the day. And then he comes back at night,</t>
  </si>
  <si>
    <t>goes up to bed, his dad goes downstairs to go to sleep.</t>
  </si>
  <si>
    <t xml:space="preserve">And on the third night, he has a dream again. And this time it’s more of a nightmare with a monster, and he’s like flying like the birds, kind of like the birds in the first and the second night dreams. </t>
  </si>
  <si>
    <t>And um, on the third night he meets a boy during his dream, who is kind of like mysterious and is kind of like, I don’t know, the young boy who is dreaming seems curious about why this boy is there and who he is.</t>
  </si>
  <si>
    <t>And then, when he wakes up the next day,</t>
  </si>
  <si>
    <t>he goes outside to play with the ball again.</t>
  </si>
  <si>
    <t>And this time the boy from his dream, the other boy from his dream, shows up and the boy’s confused about why the, this boy from his dream is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</si>
</sst>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34">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xf numFmtId="0" fontId="0" fillId="2" borderId="5" xfId="0" applyFill="1" applyBorder="1" applyAlignment="1">
      <alignment horizontal="left"/>
    </xf>
    <xf numFmtId="0" fontId="0" fillId="2" borderId="0" xfId="0" applyFill="1" applyBorder="1"/>
    <xf numFmtId="0" fontId="0" fillId="2" borderId="6" xfId="0" applyFill="1" applyBorder="1"/>
    <xf numFmtId="0" fontId="0" fillId="0" borderId="5" xfId="0" applyFill="1" applyBorder="1"/>
    <xf numFmtId="0" fontId="0" fillId="0" borderId="0" xfId="0" applyFill="1" applyBorder="1"/>
    <xf numFmtId="0" fontId="0" fillId="0" borderId="6" xfId="0" applyFill="1" applyBorder="1"/>
    <xf numFmtId="0" fontId="0" fillId="2" borderId="6" xfId="0" applyFill="1" applyBorder="1" applyAlignment="1">
      <alignment horizontal="right"/>
    </xf>
    <xf numFmtId="0" fontId="0" fillId="0" borderId="6"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tabSelected="1" zoomScale="70" zoomScaleNormal="70" workbookViewId="0">
      <selection activeCell="F4" sqref="F4"/>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28.5" x14ac:dyDescent="0.45">
      <c r="A4" s="32">
        <v>1</v>
      </c>
      <c r="B4" s="26" t="s">
        <v>6</v>
      </c>
      <c r="C4" s="9">
        <v>44.7</v>
      </c>
      <c r="D4" s="27">
        <f>ROUND(C4/1.5,0)</f>
        <v>30</v>
      </c>
      <c r="E4" s="28">
        <f>D6-1</f>
        <v>41</v>
      </c>
      <c r="F4" s="25" t="s">
        <v>25</v>
      </c>
      <c r="G4" s="23">
        <v>46.4</v>
      </c>
      <c r="H4" s="23">
        <v>52.7</v>
      </c>
    </row>
    <row r="5" spans="1:8" x14ac:dyDescent="0.45">
      <c r="A5" s="32"/>
      <c r="B5" s="26"/>
      <c r="D5" s="27"/>
      <c r="E5" s="28"/>
      <c r="F5" s="25" t="s">
        <v>27</v>
      </c>
      <c r="G5" s="23">
        <v>56.3</v>
      </c>
      <c r="H5" s="23">
        <v>58.8</v>
      </c>
    </row>
    <row r="6" spans="1:8" x14ac:dyDescent="0.45">
      <c r="A6" s="33">
        <f>A4+1</f>
        <v>2</v>
      </c>
      <c r="B6" s="29" t="s">
        <v>7</v>
      </c>
      <c r="C6" s="12">
        <v>62.6</v>
      </c>
      <c r="D6" s="30">
        <f t="shared" ref="D6:D26" si="0">ROUND(C6/1.5,0)</f>
        <v>42</v>
      </c>
      <c r="E6" s="31">
        <f>D8-1</f>
        <v>51</v>
      </c>
      <c r="F6" s="24" t="s">
        <v>26</v>
      </c>
      <c r="G6" s="20">
        <v>53.4</v>
      </c>
      <c r="H6" s="20">
        <v>56</v>
      </c>
    </row>
    <row r="7" spans="1:8" x14ac:dyDescent="0.45">
      <c r="A7" s="33"/>
      <c r="B7" s="29"/>
      <c r="C7" s="12"/>
      <c r="D7" s="30"/>
      <c r="E7" s="31"/>
      <c r="F7" s="24" t="s">
        <v>28</v>
      </c>
      <c r="G7" s="20">
        <v>59.5</v>
      </c>
      <c r="H7" s="20">
        <v>62.3</v>
      </c>
    </row>
    <row r="8" spans="1:8" x14ac:dyDescent="0.45">
      <c r="A8" s="12">
        <f>A6+1</f>
        <v>3</v>
      </c>
      <c r="B8" s="10" t="s">
        <v>8</v>
      </c>
      <c r="C8" s="9">
        <v>76.400000000000006</v>
      </c>
      <c r="D8" s="9">
        <v>52</v>
      </c>
      <c r="E8" s="11">
        <v>73</v>
      </c>
      <c r="F8" s="25" t="s">
        <v>29</v>
      </c>
      <c r="G8" s="22">
        <v>62.4</v>
      </c>
      <c r="H8" s="23">
        <v>63.4</v>
      </c>
    </row>
    <row r="9" spans="1:8" ht="28.5" x14ac:dyDescent="0.45">
      <c r="A9" s="12">
        <f t="shared" ref="A9:A27" si="1">A8+1</f>
        <v>4</v>
      </c>
      <c r="B9" s="13" t="s">
        <v>9</v>
      </c>
      <c r="C9" s="12">
        <v>110</v>
      </c>
      <c r="D9" s="12">
        <v>74</v>
      </c>
      <c r="E9" s="14">
        <v>97</v>
      </c>
      <c r="F9" s="24" t="s">
        <v>30</v>
      </c>
      <c r="G9" s="20">
        <v>64.2</v>
      </c>
      <c r="H9" s="20">
        <v>72.099999999999994</v>
      </c>
    </row>
    <row r="10" spans="1:8" x14ac:dyDescent="0.45">
      <c r="A10" s="12">
        <f t="shared" si="1"/>
        <v>5</v>
      </c>
      <c r="B10" s="10" t="s">
        <v>10</v>
      </c>
      <c r="C10" s="9">
        <v>145.4</v>
      </c>
      <c r="D10" s="9">
        <v>98</v>
      </c>
      <c r="E10" s="11">
        <v>102</v>
      </c>
      <c r="F10" s="25"/>
      <c r="G10" s="23"/>
      <c r="H10" s="23"/>
    </row>
    <row r="11" spans="1:8" ht="28.5" x14ac:dyDescent="0.45">
      <c r="A11" s="12">
        <f t="shared" si="1"/>
        <v>6</v>
      </c>
      <c r="B11" s="13" t="s">
        <v>11</v>
      </c>
      <c r="C11" s="12">
        <v>154.6</v>
      </c>
      <c r="D11" s="12">
        <f t="shared" si="0"/>
        <v>103</v>
      </c>
      <c r="E11" s="14">
        <v>121</v>
      </c>
      <c r="F11" s="24" t="s">
        <v>31</v>
      </c>
      <c r="G11" s="20">
        <v>72.2</v>
      </c>
      <c r="H11" s="20">
        <v>77.599999999999994</v>
      </c>
    </row>
    <row r="12" spans="1:8" ht="28.5" x14ac:dyDescent="0.45">
      <c r="A12" s="12">
        <f t="shared" si="1"/>
        <v>7</v>
      </c>
      <c r="B12" s="10" t="s">
        <v>8</v>
      </c>
      <c r="C12" s="9">
        <v>182.7</v>
      </c>
      <c r="D12" s="9">
        <f t="shared" si="0"/>
        <v>122</v>
      </c>
      <c r="E12" s="11">
        <v>132</v>
      </c>
      <c r="F12" s="25" t="s">
        <v>32</v>
      </c>
      <c r="G12" s="23">
        <v>78.099999999999994</v>
      </c>
      <c r="H12" s="23">
        <v>86.5</v>
      </c>
    </row>
    <row r="13" spans="1:8" ht="42.75" x14ac:dyDescent="0.45">
      <c r="A13" s="12">
        <f t="shared" si="1"/>
        <v>8</v>
      </c>
      <c r="B13" s="13" t="s">
        <v>12</v>
      </c>
      <c r="C13" s="12">
        <v>199</v>
      </c>
      <c r="D13" s="12">
        <f t="shared" si="0"/>
        <v>133</v>
      </c>
      <c r="E13" s="14">
        <v>142</v>
      </c>
      <c r="F13" s="24" t="s">
        <v>33</v>
      </c>
      <c r="G13" s="20">
        <v>86.9</v>
      </c>
      <c r="H13" s="20">
        <v>97.2</v>
      </c>
    </row>
    <row r="14" spans="1:8" x14ac:dyDescent="0.45">
      <c r="A14" s="12">
        <f t="shared" si="1"/>
        <v>9</v>
      </c>
      <c r="B14" s="10" t="s">
        <v>13</v>
      </c>
      <c r="C14" s="9">
        <v>213.8</v>
      </c>
      <c r="D14" s="9">
        <f t="shared" si="0"/>
        <v>143</v>
      </c>
      <c r="E14" s="11">
        <v>155</v>
      </c>
      <c r="F14" s="25"/>
      <c r="G14" s="23"/>
      <c r="H14" s="23"/>
    </row>
    <row r="15" spans="1:8" x14ac:dyDescent="0.45">
      <c r="A15" s="12">
        <f t="shared" si="1"/>
        <v>10</v>
      </c>
      <c r="B15" s="13" t="s">
        <v>10</v>
      </c>
      <c r="C15" s="12">
        <v>232</v>
      </c>
      <c r="D15" s="12">
        <v>156</v>
      </c>
      <c r="E15" s="14">
        <v>161</v>
      </c>
      <c r="F15" s="24"/>
    </row>
    <row r="16" spans="1:8" ht="42.75" x14ac:dyDescent="0.45">
      <c r="A16" s="12">
        <f t="shared" si="1"/>
        <v>11</v>
      </c>
      <c r="B16" s="10" t="s">
        <v>11</v>
      </c>
      <c r="C16" s="9">
        <v>243</v>
      </c>
      <c r="D16" s="9">
        <f t="shared" si="0"/>
        <v>162</v>
      </c>
      <c r="E16" s="11">
        <v>174</v>
      </c>
      <c r="F16" s="25" t="s">
        <v>34</v>
      </c>
      <c r="G16" s="23">
        <v>98</v>
      </c>
      <c r="H16" s="23">
        <v>110.4</v>
      </c>
    </row>
    <row r="17" spans="1:8" x14ac:dyDescent="0.45">
      <c r="A17" s="12">
        <f t="shared" si="1"/>
        <v>12</v>
      </c>
      <c r="B17" s="13" t="s">
        <v>8</v>
      </c>
      <c r="C17" s="12">
        <v>263</v>
      </c>
      <c r="D17" s="12">
        <f t="shared" si="0"/>
        <v>175</v>
      </c>
      <c r="E17" s="14">
        <v>188</v>
      </c>
      <c r="F17" s="24" t="s">
        <v>35</v>
      </c>
      <c r="G17" s="20">
        <v>111</v>
      </c>
      <c r="H17" s="20">
        <v>113.7</v>
      </c>
    </row>
    <row r="18" spans="1:8" ht="42.75" x14ac:dyDescent="0.45">
      <c r="A18" s="12">
        <f t="shared" si="1"/>
        <v>13</v>
      </c>
      <c r="B18" s="10" t="s">
        <v>14</v>
      </c>
      <c r="C18" s="9">
        <v>281.2</v>
      </c>
      <c r="D18" s="9">
        <v>189</v>
      </c>
      <c r="E18" s="11">
        <v>201</v>
      </c>
      <c r="F18" s="25" t="s">
        <v>36</v>
      </c>
      <c r="G18" s="23">
        <v>114.7</v>
      </c>
      <c r="H18" s="23">
        <v>127.1</v>
      </c>
    </row>
    <row r="19" spans="1:8" ht="42.75" x14ac:dyDescent="0.45">
      <c r="A19" s="12">
        <f t="shared" si="1"/>
        <v>14</v>
      </c>
      <c r="B19" s="13" t="s">
        <v>15</v>
      </c>
      <c r="C19" s="12">
        <v>302.5</v>
      </c>
      <c r="D19" s="12">
        <f t="shared" si="0"/>
        <v>202</v>
      </c>
      <c r="E19" s="14">
        <v>208</v>
      </c>
      <c r="F19" s="24" t="s">
        <v>37</v>
      </c>
      <c r="G19" s="20">
        <v>127.5</v>
      </c>
      <c r="H19" s="20">
        <v>142.69999999999999</v>
      </c>
    </row>
    <row r="20" spans="1:8" x14ac:dyDescent="0.45">
      <c r="A20" s="12">
        <f t="shared" si="1"/>
        <v>15</v>
      </c>
      <c r="B20" s="10" t="s">
        <v>16</v>
      </c>
      <c r="C20" s="9">
        <v>312</v>
      </c>
      <c r="D20" s="9">
        <v>209</v>
      </c>
      <c r="E20" s="11">
        <v>220</v>
      </c>
      <c r="F20" s="25"/>
      <c r="G20" s="23"/>
      <c r="H20" s="23"/>
    </row>
    <row r="21" spans="1:8" x14ac:dyDescent="0.45">
      <c r="A21" s="12">
        <f t="shared" si="1"/>
        <v>16</v>
      </c>
      <c r="B21" s="13" t="s">
        <v>17</v>
      </c>
      <c r="C21" s="12">
        <v>331.7</v>
      </c>
      <c r="D21" s="12">
        <f t="shared" si="0"/>
        <v>221</v>
      </c>
      <c r="E21" s="14">
        <v>241</v>
      </c>
      <c r="F21" s="24"/>
    </row>
    <row r="22" spans="1:8" x14ac:dyDescent="0.45">
      <c r="A22" s="12">
        <f t="shared" si="1"/>
        <v>17</v>
      </c>
      <c r="B22" s="10" t="s">
        <v>10</v>
      </c>
      <c r="C22" s="9">
        <v>363.7</v>
      </c>
      <c r="D22" s="9">
        <f t="shared" si="0"/>
        <v>242</v>
      </c>
      <c r="E22" s="11">
        <v>250</v>
      </c>
      <c r="F22" s="25"/>
      <c r="G22" s="23"/>
      <c r="H22" s="23"/>
    </row>
    <row r="23" spans="1:8" x14ac:dyDescent="0.45">
      <c r="A23" s="12">
        <f t="shared" si="1"/>
        <v>18</v>
      </c>
      <c r="B23" s="13" t="s">
        <v>18</v>
      </c>
      <c r="C23" s="15">
        <v>376.6</v>
      </c>
      <c r="D23" s="12">
        <f t="shared" si="0"/>
        <v>251</v>
      </c>
      <c r="E23" s="14">
        <v>260</v>
      </c>
      <c r="F23" s="24" t="s">
        <v>38</v>
      </c>
      <c r="G23" s="20">
        <v>143.30000000000001</v>
      </c>
      <c r="H23" s="20">
        <v>146</v>
      </c>
    </row>
    <row r="24" spans="1:8" x14ac:dyDescent="0.45">
      <c r="A24" s="12">
        <f t="shared" si="1"/>
        <v>19</v>
      </c>
      <c r="B24" s="10" t="s">
        <v>19</v>
      </c>
      <c r="C24" s="16">
        <v>390</v>
      </c>
      <c r="D24" s="9">
        <v>261</v>
      </c>
      <c r="E24" s="11">
        <v>270</v>
      </c>
      <c r="F24" s="25"/>
      <c r="G24" s="23"/>
      <c r="H24" s="23"/>
    </row>
    <row r="25" spans="1:8" x14ac:dyDescent="0.45">
      <c r="A25" s="12">
        <f t="shared" si="1"/>
        <v>20</v>
      </c>
      <c r="B25" s="13" t="s">
        <v>6</v>
      </c>
      <c r="C25" s="17">
        <v>406</v>
      </c>
      <c r="D25" s="12">
        <f t="shared" si="0"/>
        <v>271</v>
      </c>
      <c r="E25" s="14">
        <v>280</v>
      </c>
      <c r="F25" s="24" t="s">
        <v>39</v>
      </c>
      <c r="G25" s="20">
        <v>146.4</v>
      </c>
      <c r="H25" s="20">
        <v>148.6</v>
      </c>
    </row>
    <row r="26" spans="1:8" x14ac:dyDescent="0.45">
      <c r="A26" s="12">
        <f t="shared" si="1"/>
        <v>21</v>
      </c>
      <c r="B26" s="10" t="s">
        <v>20</v>
      </c>
      <c r="C26" s="9">
        <v>421</v>
      </c>
      <c r="D26" s="9">
        <f t="shared" si="0"/>
        <v>281</v>
      </c>
      <c r="E26" s="11">
        <v>292</v>
      </c>
      <c r="F26" s="25"/>
      <c r="G26" s="23"/>
      <c r="H26" s="23"/>
    </row>
    <row r="27" spans="1:8" ht="28.5" x14ac:dyDescent="0.45">
      <c r="A27" s="12">
        <f t="shared" si="1"/>
        <v>22</v>
      </c>
      <c r="B27" s="13" t="s">
        <v>21</v>
      </c>
      <c r="C27" s="12">
        <v>438.5</v>
      </c>
      <c r="D27" s="12">
        <v>293</v>
      </c>
      <c r="E27" s="14">
        <v>300</v>
      </c>
      <c r="F27" s="24" t="s">
        <v>40</v>
      </c>
      <c r="G27" s="20">
        <v>149.1</v>
      </c>
      <c r="H27" s="20">
        <v>161.30000000000001</v>
      </c>
    </row>
    <row r="28" spans="1:8" x14ac:dyDescent="0.45">
      <c r="A28" s="12"/>
      <c r="B28" s="13"/>
      <c r="C28" s="12"/>
      <c r="D28" s="12"/>
      <c r="E28" s="14"/>
      <c r="F28" s="2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row r="69" spans="1:5" x14ac:dyDescent="0.45">
      <c r="A69" s="12"/>
      <c r="B69" s="13"/>
      <c r="C69" s="12"/>
      <c r="D69" s="12"/>
      <c r="E69" s="14"/>
    </row>
    <row r="70" spans="1:5" x14ac:dyDescent="0.45">
      <c r="A70" s="12"/>
      <c r="B70" s="13"/>
      <c r="C70" s="12"/>
      <c r="D70" s="12"/>
      <c r="E70" s="14"/>
    </row>
  </sheetData>
  <mergeCells count="8">
    <mergeCell ref="A4:A5"/>
    <mergeCell ref="A6:A7"/>
    <mergeCell ref="B4:B5"/>
    <mergeCell ref="D4:D5"/>
    <mergeCell ref="E4:E5"/>
    <mergeCell ref="B6:B7"/>
    <mergeCell ref="D6:D7"/>
    <mergeCell ref="E6:E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2017-08-03T20:07:49Z</dcterms:modified>
</cp:coreProperties>
</file>